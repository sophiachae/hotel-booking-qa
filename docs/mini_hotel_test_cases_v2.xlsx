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테스트케이스" sheetId="1" state="visible" r:id="rId1"/>
    <sheet name="AI 리뷰 요약" sheetId="2" state="visible" r:id="rId2"/>
    <sheet name="결함 목록" sheetId="3" state="visible" r:id="rId3"/>
    <sheet name="공통 표기" sheetId="4" state="visible" r:id="rId4"/>
  </sheets>
  <definedNames>
    <definedName name="_xlnm._FilterDatabase" localSheetId="0" hidden="1">'테스트케이스'!$A$1:$R$81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맑은 고딕"/>
      <charset val="1"/>
      <family val="0"/>
      <b val="1"/>
      <color rgb="FFFFFFFF"/>
      <sz val="11"/>
    </font>
    <font>
      <name val="Noto Sans CJK SC"/>
      <family val="2"/>
      <b val="1"/>
      <color rgb="FFFFFFFF"/>
      <sz val="11"/>
    </font>
    <font>
      <name val="맑은 고딕"/>
      <charset val="1"/>
      <family val="0"/>
      <sz val="10"/>
    </font>
    <font>
      <name val="Noto Sans CJK SC"/>
      <family val="2"/>
      <sz val="10"/>
    </font>
    <font>
      <name val="맑은 고딕"/>
      <charset val="1"/>
      <family val="0"/>
      <color rgb="FF888888"/>
      <sz val="9"/>
    </font>
    <font>
      <name val="Noto Sans CJK SC"/>
      <family val="2"/>
      <color rgb="FF888888"/>
      <sz val="9"/>
    </font>
    <font>
      <name val="맑은 고딕"/>
      <charset val="1"/>
      <family val="0"/>
      <b val="1"/>
      <color rgb="FF2F5D62"/>
      <sz val="14"/>
    </font>
    <font>
      <name val="Noto Sans CJK SC"/>
      <family val="2"/>
      <b val="1"/>
      <color rgb="FF2F5D62"/>
      <sz val="14"/>
    </font>
    <font>
      <name val="Noto Sans CJK SC"/>
      <family val="2"/>
      <b val="1"/>
      <sz val="11"/>
    </font>
    <font>
      <name val="맑은 고딕"/>
      <charset val="1"/>
      <family val="0"/>
      <sz val="11"/>
    </font>
    <font>
      <name val="Noto Sans CJK SC"/>
      <family val="2"/>
      <sz val="11"/>
    </font>
    <font>
      <name val="맑은 고딕"/>
      <charset val="1"/>
      <family val="0"/>
      <b val="1"/>
      <sz val="11"/>
    </font>
    <font>
      <name val="맑은 고딕"/>
      <charset val="1"/>
      <family val="0"/>
      <color rgb="FF000000"/>
      <sz val="10"/>
    </font>
    <font>
      <name val="Noto Sans CJK SC"/>
      <family val="2"/>
      <color rgb="FF000000"/>
      <sz val="10"/>
    </font>
    <font>
      <name val="맑은 고딕"/>
      <charset val="1"/>
      <family val="0"/>
      <color rgb="FF0563C1"/>
      <sz val="10"/>
      <u val="single"/>
    </font>
    <font>
      <name val="Noto Sans CJK SC"/>
      <family val="2"/>
      <b val="1"/>
      <sz val="10"/>
    </font>
    <font>
      <name val="맑은 고딕"/>
      <charset val="1"/>
      <family val="0"/>
      <b val="1"/>
      <sz val="10"/>
    </font>
    <font>
      <b val="1"/>
      <color rgb="FF2F5D62"/>
      <sz val="11"/>
    </font>
  </fonts>
  <fills count="3">
    <fill>
      <patternFill/>
    </fill>
    <fill>
      <patternFill patternType="gray125"/>
    </fill>
    <fill>
      <patternFill patternType="solid">
        <fgColor rgb="FF2F5D62"/>
        <bgColor rgb="FF666699"/>
      </patternFill>
    </fill>
  </fills>
  <borders count="2">
    <border>
      <left/>
      <right/>
      <top/>
      <bottom/>
      <diagonal/>
    </border>
    <border>
      <left style="thin">
        <color rgb="FFC9D1D3"/>
      </left>
      <right style="thin">
        <color rgb="FFC9D1D3"/>
      </right>
      <top style="thin">
        <color rgb="FFC9D1D3"/>
      </top>
      <bottom style="thin">
        <color rgb="FFC9D1D3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0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1" applyAlignment="1" pivotButton="0" quotePrefix="0" xfId="0">
      <alignment horizontal="center" vertical="bottom"/>
    </xf>
    <xf numFmtId="0" fontId="12" fillId="0" borderId="1" applyAlignment="1" pivotButton="0" quotePrefix="0" xfId="0">
      <alignment horizontal="center" vertical="bottom"/>
    </xf>
    <xf numFmtId="0" fontId="13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center" vertical="bottom"/>
    </xf>
    <xf numFmtId="0" fontId="14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top" wrapText="1"/>
    </xf>
    <xf numFmtId="0" fontId="16" fillId="0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horizontal="left" vertical="top" wrapText="1"/>
    </xf>
    <xf numFmtId="0" fontId="18" fillId="0" borderId="1" applyAlignment="1" pivotButton="0" quotePrefix="0" xfId="0">
      <alignment horizontal="left" vertical="top" wrapText="1"/>
    </xf>
    <xf numFmtId="0" fontId="19" fillId="0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20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1" applyAlignment="1" pivotButton="0" quotePrefix="0" xfId="0">
      <alignment horizontal="center" vertical="bottom"/>
    </xf>
    <xf numFmtId="0" fontId="12" fillId="0" borderId="1" applyAlignment="1" pivotButton="0" quotePrefix="0" xfId="0">
      <alignment horizontal="center" vertical="bottom"/>
    </xf>
    <xf numFmtId="0" fontId="13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center" vertical="bottom"/>
    </xf>
    <xf numFmtId="0" fontId="14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top" wrapText="1"/>
    </xf>
    <xf numFmtId="0" fontId="16" fillId="0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horizontal="left" vertical="top" wrapText="1"/>
    </xf>
    <xf numFmtId="0" fontId="18" fillId="0" borderId="1" applyAlignment="1" pivotButton="0" quotePrefix="0" xfId="0">
      <alignment horizontal="left" vertical="top" wrapText="1"/>
    </xf>
    <xf numFmtId="0" fontId="19" fillId="0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20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21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1">
    <dxf>
      <fill>
        <patternFill patternType="solid">
          <fgColor rgb="FF2F5D62"/>
          <bgColor rgb="FF000000"/>
        </patternFill>
      </fill>
    </dxf>
    <dxf>
      <fill>
        <patternFill patternType="solid">
          <fgColor rgb="FFE6F4EA"/>
          <bgColor rgb="FF000000"/>
        </patternFill>
      </fill>
    </dxf>
    <dxf>
      <fill>
        <patternFill patternType="solid">
          <fgColor rgb="FFFBE3E4"/>
          <bgColor rgb="FF000000"/>
        </patternFill>
      </fill>
    </dxf>
    <dxf>
      <fill>
        <patternFill patternType="solid">
          <fgColor rgb="FFFFF4D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888888"/>
          <bgColor rgb="FF000000"/>
        </patternFill>
      </fill>
    </dxf>
    <dxf>
      <fill>
        <patternFill>
          <bgColor rgb="FFFBE3E4"/>
        </patternFill>
      </fill>
    </dxf>
    <dxf>
      <fill>
        <patternFill>
          <bgColor rgb="FFE6F4EA"/>
        </patternFill>
      </fill>
    </dxf>
    <dxf>
      <fill>
        <patternFill>
          <bgColor rgb="FFFFF4D6"/>
        </patternFill>
      </fill>
    </dxf>
    <dxf>
      <font>
        <name val="맑은 고딕"/>
        <charset val="1"/>
        <family val="0"/>
        <b val="1"/>
        <color rgb="FF2F5D62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4D6"/>
      <rgbColor rgb="FFE6F4EA"/>
      <rgbColor rgb="FF660066"/>
      <rgbColor rgb="FFFF8080"/>
      <rgbColor rgb="FF0563C1"/>
      <rgbColor rgb="FFC9D1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E3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5D6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https://github.com/sophiachae/hotel-booking-qa/issues/1" TargetMode="External" Id="rId1" /><Relationship Type="http://schemas.openxmlformats.org/officeDocument/2006/relationships/hyperlink" Target="https://github.com/sophiachae/hotel-booking-qa/issues/2" TargetMode="External" Id="rId2" /><Relationship Type="http://schemas.openxmlformats.org/officeDocument/2006/relationships/hyperlink" Target="https://github.com/sophiachae/hotel-booking-qa/issues/3" TargetMode="External" Id="rId3" /><Relationship Type="http://schemas.openxmlformats.org/officeDocument/2006/relationships/hyperlink" Target="https://github.com/sophiachae/hotel-booking-qa/issues/4" TargetMode="External" Id="rId4" /><Relationship Type="http://schemas.openxmlformats.org/officeDocument/2006/relationships/hyperlink" Target="https://github.com/sophiachae/hotel-booking-qa/issues/5" TargetMode="External" Id="rId5" /><Relationship Type="http://schemas.openxmlformats.org/officeDocument/2006/relationships/hyperlink" Target="https://github.com/sophiachae/hotel-booking-qa/issues/6" TargetMode="External" Id="rId6" /><Relationship Type="http://schemas.openxmlformats.org/officeDocument/2006/relationships/hyperlink" Target="https://github.com/sophiachae/hotel-booking-qa/issues/7" TargetMode="External" Id="rId7" /><Relationship Type="http://schemas.openxmlformats.org/officeDocument/2006/relationships/hyperlink" Target="https://github.com/sophiachae/hotel-booking-qa/issues/8" TargetMode="External" Id="rId8" /><Relationship Type="http://schemas.openxmlformats.org/officeDocument/2006/relationships/hyperlink" Target="https://github.com/sophiachae/hotel-booking-qa/issues/9" TargetMode="External" Id="rId9" /><Relationship Type="http://schemas.openxmlformats.org/officeDocument/2006/relationships/hyperlink" Target="https://github.com/sophiachae/hotel-booking-qa/issues/10" TargetMode="External" Id="rId10" /><Relationship Type="http://schemas.openxmlformats.org/officeDocument/2006/relationships/hyperlink" Target="https://github.com/sophiachae/hotel-booking-qa/issues/12" TargetMode="External" Id="rId11" /><Relationship Type="http://schemas.openxmlformats.org/officeDocument/2006/relationships/hyperlink" Target="https://github.com/sophiachae/hotel-booking-qa/issues/13" TargetMode="External" Id="rId12" /><Relationship Type="http://schemas.openxmlformats.org/officeDocument/2006/relationships/hyperlink" Target="https://github.com/sophiachae/hotel-booking-qa/issues/14" TargetMode="External" Id="rId13" /><Relationship Type="http://schemas.openxmlformats.org/officeDocument/2006/relationships/hyperlink" Target="https://github.com/sophiachae/hotel-booking-qa/issues/15" TargetMode="External" Id="rId14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R8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8" customWidth="1" style="24" min="1" max="1"/>
    <col width="9" customWidth="1" style="24" min="2" max="2"/>
    <col width="7" customWidth="1" style="24" min="3" max="3"/>
    <col width="9" customWidth="1" style="24" min="4" max="4"/>
    <col width="22" customWidth="1" style="24" min="5" max="5"/>
    <col width="26" customWidth="1" style="24" min="6" max="6"/>
    <col width="40" customWidth="1" style="24" min="7" max="7"/>
    <col width="34" customWidth="1" style="24" min="8" max="8"/>
    <col width="32" customWidth="1" style="24" min="9" max="9"/>
    <col width="10" customWidth="1" style="24" min="10" max="10"/>
    <col width="11" customWidth="1" style="24" min="11" max="11"/>
    <col width="8" customWidth="1" style="24" min="12" max="12"/>
    <col width="40" customWidth="1" style="24" min="13" max="13"/>
    <col width="8" customWidth="1" style="24" min="14" max="14"/>
    <col width="30" customWidth="1" style="24" min="15" max="15"/>
    <col width="7" customWidth="1" style="25" min="16" max="16"/>
    <col width="12" customWidth="1" style="25" min="17" max="17"/>
    <col width="40" customWidth="1" style="25" min="18" max="18"/>
  </cols>
  <sheetData>
    <row r="1" ht="32.8" customHeight="1" s="25">
      <c r="A1" s="26" t="inlineStr">
        <is>
          <t>ID</t>
        </is>
      </c>
      <c r="B1" s="27" t="inlineStr">
        <is>
          <t>출처</t>
        </is>
      </c>
      <c r="C1" s="27" t="inlineStr">
        <is>
          <t>영역</t>
        </is>
      </c>
      <c r="D1" s="27" t="inlineStr">
        <is>
          <t>유형</t>
        </is>
      </c>
      <c r="E1" s="27" t="inlineStr">
        <is>
          <t>시나리오</t>
        </is>
      </c>
      <c r="F1" s="27" t="inlineStr">
        <is>
          <t>사전조건(정책)</t>
        </is>
      </c>
      <c r="G1" s="27" t="inlineStr">
        <is>
          <t>테스트 절차</t>
        </is>
      </c>
      <c r="H1" s="27" t="inlineStr">
        <is>
          <t>기대결과</t>
        </is>
      </c>
      <c r="I1" s="27" t="inlineStr">
        <is>
          <t>실제 결과</t>
        </is>
      </c>
      <c r="J1" s="27" t="inlineStr">
        <is>
          <t>실행결과</t>
        </is>
      </c>
      <c r="K1" s="27" t="inlineStr">
        <is>
          <t>실행일</t>
        </is>
      </c>
      <c r="L1" s="27" t="inlineStr">
        <is>
          <t>결함 ID</t>
        </is>
      </c>
      <c r="M1" s="27" t="inlineStr">
        <is>
          <t>리뷰 메모</t>
        </is>
      </c>
      <c r="N1" s="27" t="inlineStr">
        <is>
          <t>우선순위</t>
        </is>
      </c>
      <c r="O1" s="26" t="inlineStr">
        <is>
          <t>AI 원문 절차(수정 전)</t>
        </is>
      </c>
      <c r="P1" s="26" t="inlineStr">
        <is>
          <t>버전</t>
        </is>
      </c>
      <c r="Q1" s="26" t="inlineStr">
        <is>
          <t>1.1 회귀 결과</t>
        </is>
      </c>
      <c r="R1" s="26" t="inlineStr">
        <is>
          <t>1.1 회귀 메모</t>
        </is>
      </c>
    </row>
    <row r="2" ht="73.09999999999999" customHeight="1" s="25">
      <c r="A2" s="28" t="inlineStr">
        <is>
          <t>TC-01</t>
        </is>
      </c>
      <c r="B2" s="28" t="inlineStr">
        <is>
          <t>AI수정</t>
        </is>
      </c>
      <c r="C2" s="28" t="inlineStr">
        <is>
          <t>UI</t>
        </is>
      </c>
      <c r="D2" s="29" t="inlineStr">
        <is>
          <t>정상</t>
        </is>
      </c>
      <c r="E2" s="30" t="inlineStr">
        <is>
          <t>서울 호텔 검색</t>
        </is>
      </c>
      <c r="F2" s="30" t="inlineStr">
        <is>
          <t>초기화</t>
        </is>
      </c>
      <c r="G2" s="31" t="inlineStr">
        <is>
          <t>1. 홈 접속
2. 도시: 서울 선택
3. 체크인 = 오늘+30일, 체크아웃 = 오늘+32일 (2박)
4. 인원 2명
5. 호텔 검색 클릭</t>
        </is>
      </c>
      <c r="H2" s="30" t="inlineStr">
        <is>
          <t>검색 결과에 서울 호텔 2개 노출
- 서울 그랜드 호텔: 1박 최저 120,000원, 예약 가능 객실 3개
- 두 번째 호텔: 1박 최저 95,000원, 예약 가능 객실 2개</t>
        </is>
      </c>
      <c r="I2" s="31" t="inlineStr">
        <is>
          <t>서울 호텔 2개 노출. 서울 그랜드 호텔 1박 최저 120,000원·예약 가능 객실 3개 / 한강 리버뷰 호텔 95,000원·2개</t>
        </is>
      </c>
      <c r="J2" s="29" t="inlineStr">
        <is>
          <t>Pass</t>
        </is>
      </c>
      <c r="K2" s="28" t="inlineStr">
        <is>
          <t>2026-10-10</t>
        </is>
      </c>
      <c r="L2" s="28" t="n"/>
      <c r="M2" s="31" t="inlineStr">
        <is>
          <t>'D+30' 표기가 '최대 30박'으로 오해될 수 있음(리뷰 중 실제로 혼동). 실행자가 바로 이해할 수 있게 실제 날짜 또는 '오늘+n일'로 표기 권장
Playwright UI 자동화: tests/ui/search.spec.ts</t>
        </is>
      </c>
      <c r="N2" s="28" t="inlineStr">
        <is>
          <t>High</t>
        </is>
      </c>
      <c r="O2" s="32" t="inlineStr">
        <is>
          <t>① index.html 접속
② search-city=서울, checkin D+30, checkout D+32, guests 2
③ search-submit 클릭</t>
        </is>
      </c>
      <c r="P2" s="28" t="inlineStr">
        <is>
          <t>1.0</t>
        </is>
      </c>
      <c r="Q2" s="28" t="inlineStr">
        <is>
          <t>Pass</t>
        </is>
      </c>
      <c r="R2" s="28" t="inlineStr">
        <is>
          <t>자동화 회귀 (10/10): 1.0과 동일</t>
        </is>
      </c>
    </row>
    <row r="3" ht="41.75" customHeight="1" s="25">
      <c r="A3" s="28" t="inlineStr">
        <is>
          <t>TC-02</t>
        </is>
      </c>
      <c r="B3" s="28" t="inlineStr">
        <is>
          <t>AI</t>
        </is>
      </c>
      <c r="C3" s="28" t="inlineStr">
        <is>
          <t>API</t>
        </is>
      </c>
      <c r="D3" s="29" t="inlineStr">
        <is>
          <t>정상</t>
        </is>
      </c>
      <c r="E3" s="30" t="inlineStr">
        <is>
          <t>인원 조건 필터링</t>
        </is>
      </c>
      <c r="F3" s="30" t="inlineStr">
        <is>
          <t>초기화</t>
        </is>
      </c>
      <c r="G3" s="31" t="inlineStr">
        <is>
          <t>GET /api/hotels?city=부산&amp;checkIn=D+30&amp;checkOut=D+32&amp;guests=5</t>
        </is>
      </c>
      <c r="H3" s="31" t="inlineStr">
        <is>
          <t>200, 배열 길이 1, id=3, availableRooms=1, minPrice=450000. 호텔 4(최대 3인)는 미포함</t>
        </is>
      </c>
      <c r="I3" s="31" t="inlineStr">
        <is>
          <t>200, 호텔 3만 반환 (availableRooms=1, minPrice=450000)</t>
        </is>
      </c>
      <c r="J3" s="29" t="inlineStr">
        <is>
          <t>Pass</t>
        </is>
      </c>
      <c r="K3" s="28" t="inlineStr">
        <is>
          <t>2026-10-10</t>
        </is>
      </c>
      <c r="L3" s="28" t="n"/>
      <c r="M3" s="31" t="inlineStr">
        <is>
          <t>Playwright API 자동화: tests/api/hotels.spec.ts</t>
        </is>
      </c>
      <c r="N3" s="28" t="inlineStr">
        <is>
          <t>High</t>
        </is>
      </c>
      <c r="O3" s="32" t="n"/>
      <c r="P3" s="28" t="inlineStr">
        <is>
          <t>1.0</t>
        </is>
      </c>
      <c r="Q3" s="28" t="inlineStr">
        <is>
          <t>Pass</t>
        </is>
      </c>
      <c r="R3" s="28" t="inlineStr">
        <is>
          <t>자동화 회귀 (10/10): 1.0과 동일</t>
        </is>
      </c>
    </row>
    <row r="4" ht="44" customHeight="1" s="25">
      <c r="A4" s="28" t="inlineStr">
        <is>
          <t>TC-03</t>
        </is>
      </c>
      <c r="B4" s="28" t="inlineStr">
        <is>
          <t>AI</t>
        </is>
      </c>
      <c r="C4" s="28" t="inlineStr">
        <is>
          <t>API</t>
        </is>
      </c>
      <c r="D4" s="29" t="inlineStr">
        <is>
          <t>경계</t>
        </is>
      </c>
      <c r="E4" s="31" t="inlineStr">
        <is>
          <t>guests 최솟값/최댓값 허용</t>
        </is>
      </c>
      <c r="F4" s="30" t="inlineStr">
        <is>
          <t>초기화</t>
        </is>
      </c>
      <c r="G4" s="31" t="inlineStr">
        <is>
          <t>guests=1, guests=10으로 각각 GET /api/hotels (서울, D+30~D+32)</t>
        </is>
      </c>
      <c r="H4" s="31" t="inlineStr">
        <is>
          <t>guests=1: 200, 호텔 1·2 반환. guests=10: 200, [] (수용 가능한 객실 없음). 두 경우 모두 400 아님</t>
        </is>
      </c>
      <c r="I4" s="31" t="inlineStr">
        <is>
          <t>guests=1: 200, 호텔 1·2 반환 / guests=10: 200, []</t>
        </is>
      </c>
      <c r="J4" s="29" t="inlineStr">
        <is>
          <t>Pass</t>
        </is>
      </c>
      <c r="K4" s="28" t="inlineStr">
        <is>
          <t>2026-10-10</t>
        </is>
      </c>
      <c r="L4" s="28" t="n"/>
      <c r="M4" s="31" t="inlineStr">
        <is>
          <t>Playwright API 자동화: tests/api/hotels.spec.ts</t>
        </is>
      </c>
      <c r="N4" s="28" t="inlineStr">
        <is>
          <t>Mid</t>
        </is>
      </c>
      <c r="O4" s="32" t="n"/>
      <c r="P4" s="28" t="inlineStr">
        <is>
          <t>1.0</t>
        </is>
      </c>
      <c r="Q4" s="28" t="inlineStr">
        <is>
          <t>Pass</t>
        </is>
      </c>
      <c r="R4" s="28" t="inlineStr">
        <is>
          <t>자동화 회귀 (10/10): 1.0과 동일</t>
        </is>
      </c>
    </row>
    <row r="5" ht="41.75" customHeight="1" s="25">
      <c r="A5" s="28" t="inlineStr">
        <is>
          <t>TC-04</t>
        </is>
      </c>
      <c r="B5" s="28" t="inlineStr">
        <is>
          <t>AI수정</t>
        </is>
      </c>
      <c r="C5" s="28" t="inlineStr">
        <is>
          <t>API</t>
        </is>
      </c>
      <c r="D5" s="29" t="inlineStr">
        <is>
          <t>경계/예외</t>
        </is>
      </c>
      <c r="E5" s="31" t="inlineStr">
        <is>
          <t>guests 범위·형식 위반</t>
        </is>
      </c>
      <c r="F5" s="30" t="inlineStr">
        <is>
          <t>초기화</t>
        </is>
      </c>
      <c r="G5" s="31" t="inlineStr">
        <is>
          <t>guests=0, 11, 2.5, abc로 각각 GET /api/hotels</t>
        </is>
      </c>
      <c r="H5" s="31" t="inlineStr">
        <is>
          <t>4건 모두 400, error.code=VALIDATION_ERROR, error.details.guests 존재</t>
        </is>
      </c>
      <c r="I5" s="31" t="inlineStr">
        <is>
          <t>4건 모두 400, error.code=VALIDATION_ERROR</t>
        </is>
      </c>
      <c r="J5" s="29" t="inlineStr">
        <is>
          <t>Pass</t>
        </is>
      </c>
      <c r="K5" s="28" t="inlineStr">
        <is>
          <t>2026-10-10</t>
        </is>
      </c>
      <c r="L5" s="28" t="n"/>
      <c r="M5" s="31" t="inlineStr">
        <is>
          <t>AI가 명세에 없는 error.details 키를 기대결과로 넘겨짚음 → 조건 제외. README에는 details 포함 조건이 정의되어 있지 않음(필드 입력 오류 예시만 있음). 자동화 1차 실행(10/10)에서 details 조건으로 Fail 후 리뷰하여 TC 수정
Playwright API 자동화: tests/api/hotels.spec.ts
[1.1] 명세에 'VALIDATION_ERROR는 항상 details 포함'이 추가되어 details 조건 복구. 결과적으로 AI 원문 기대결과가 1.1 명세와 일치함. (1.0 기대결과: 4건 모두 400, error.code=VALIDATION_ERROR)</t>
        </is>
      </c>
      <c r="N5" s="28" t="inlineStr">
        <is>
          <t>High</t>
        </is>
      </c>
      <c r="O5" s="32" t="inlineStr">
        <is>
          <t>[기대결과 원문] 4건 모두 400, error.code=VALIDATION_ERROR, error.details에 guests 키 존재</t>
        </is>
      </c>
      <c r="P5" s="28" t="inlineStr">
        <is>
          <t>1.0</t>
        </is>
      </c>
      <c r="Q5" s="28" t="inlineStr">
        <is>
          <t>Pass</t>
        </is>
      </c>
      <c r="R5" s="28" t="inlineStr">
        <is>
          <t>자동화 회귀 (10/10): 1.0과 동일 / details 검증 복구 후 재실행 Pass</t>
        </is>
      </c>
    </row>
    <row r="6" ht="47.75" customHeight="1" s="25">
      <c r="A6" s="28" t="inlineStr">
        <is>
          <t>TC-05</t>
        </is>
      </c>
      <c r="B6" s="28" t="inlineStr">
        <is>
          <t>AI수정</t>
        </is>
      </c>
      <c r="C6" s="28" t="inlineStr">
        <is>
          <t>UI</t>
        </is>
      </c>
      <c r="D6" s="29" t="inlineStr">
        <is>
          <t>경계</t>
        </is>
      </c>
      <c r="E6" s="30" t="inlineStr">
        <is>
          <t>체크인=오늘 허용, 어제 거부</t>
        </is>
      </c>
      <c r="F6" s="30" t="inlineStr">
        <is>
          <t>체크인은 오늘부터 가능 (정책)</t>
        </is>
      </c>
      <c r="G6" s="30" t="inlineStr">
        <is>
          <t>① 부산 / 체크인 오늘(10/8) ~ 체크아웃 10/9 / 2명 검색
② 부산 / 체크인 10/6(과거) ~ 10/10 / 2명 검색</t>
        </is>
      </c>
      <c r="H6" s="30" t="inlineStr">
        <is>
          <t>① 검색 결과 노출
② '체크인 날짜는 오늘 이후여야 합니다.' 에러 표시</t>
        </is>
      </c>
      <c r="I6" s="30" t="inlineStr">
        <is>
          <t>① 호텔 2개 노출 (로그 GET /api/hotels status=200)
② 에러 메시지 표시</t>
        </is>
      </c>
      <c r="J6" s="28" t="inlineStr">
        <is>
          <t>Pass</t>
        </is>
      </c>
      <c r="K6" s="28" t="inlineStr">
        <is>
          <t>2026-10-08</t>
        </is>
      </c>
      <c r="L6" s="28" t="n"/>
      <c r="M6" s="31" t="inlineStr">
        <is>
          <t>API로 분류됐으나 UI로 재현 가능. 에러 문구 '오늘 이후'는 오늘 포함 여부가 모호함(실제로는 오늘 허용) → 문구 개선 제안</t>
        </is>
      </c>
      <c r="N6" s="28" t="inlineStr">
        <is>
          <t>High</t>
        </is>
      </c>
      <c r="O6" s="32" t="inlineStr">
        <is>
          <t>① checkIn=D, checkOut=D+1
② checkIn=D-1, checkOut=D+1 (서울, 2명)</t>
        </is>
      </c>
      <c r="P6" s="28" t="inlineStr">
        <is>
          <t>1.0</t>
        </is>
      </c>
      <c r="Q6" s="28" t="inlineStr">
        <is>
          <t>미실행</t>
        </is>
      </c>
      <c r="R6" s="28" t="inlineStr">
        <is>
          <t>1.1에서 다시 실행하지 않음</t>
        </is>
      </c>
    </row>
    <row r="7" ht="36.55" customHeight="1" s="25">
      <c r="A7" s="28" t="inlineStr">
        <is>
          <t>TC-06</t>
        </is>
      </c>
      <c r="B7" s="28" t="inlineStr">
        <is>
          <t>AI수정</t>
        </is>
      </c>
      <c r="C7" s="28" t="inlineStr">
        <is>
          <t>UI</t>
        </is>
      </c>
      <c r="D7" s="29" t="inlineStr">
        <is>
          <t>경계</t>
        </is>
      </c>
      <c r="E7" s="30" t="inlineStr">
        <is>
          <t>체크아웃=체크인(0박)</t>
        </is>
      </c>
      <c r="F7" s="30" t="inlineStr">
        <is>
          <t>체크아웃은 체크인 다음 날 이후 (정책)</t>
        </is>
      </c>
      <c r="G7" s="31" t="inlineStr">
        <is>
          <t>1. 서울 / 체크인 12/31 ~ 체크아웃 12/31 / 2명
2. 호텔 검색 클릭</t>
        </is>
      </c>
      <c r="H7" s="31" t="inlineStr">
        <is>
          <t>'체크아웃 날짜는 체크인 날짜보다 이후여야 합니다.' 에러 표시, 검색 진행 안 됨</t>
        </is>
      </c>
      <c r="I7" s="30" t="inlineStr">
        <is>
          <t>에러 메시지 표시. 서버 로그 없음(화면에서 차단)</t>
        </is>
      </c>
      <c r="J7" s="28" t="inlineStr">
        <is>
          <t>Pass</t>
        </is>
      </c>
      <c r="K7" s="28" t="inlineStr">
        <is>
          <t>2026-10-07</t>
        </is>
      </c>
      <c r="L7" s="28" t="n"/>
      <c r="M7" s="30" t="inlineStr">
        <is>
          <t>화면에서만 차단되고 서버까지 요청이 가지 않음 → 서버 측 검증은 API 단계에서 별도 확인 필요</t>
        </is>
      </c>
      <c r="N7" s="28" t="inlineStr">
        <is>
          <t>High</t>
        </is>
      </c>
      <c r="O7" s="32" t="inlineStr">
        <is>
          <t>GET /api/hotels?city=서울&amp;checkIn=D+30&amp;checkOut=D+30&amp;guests=2</t>
        </is>
      </c>
      <c r="P7" s="28" t="inlineStr">
        <is>
          <t>1.0</t>
        </is>
      </c>
      <c r="Q7" s="28" t="inlineStr">
        <is>
          <t>미실행</t>
        </is>
      </c>
      <c r="R7" s="28" t="inlineStr">
        <is>
          <t>1.1에서 다시 실행하지 않음</t>
        </is>
      </c>
    </row>
    <row r="8" ht="49.25" customHeight="1" s="25">
      <c r="A8" s="28" t="inlineStr">
        <is>
          <t>TC-07</t>
        </is>
      </c>
      <c r="B8" s="28" t="inlineStr">
        <is>
          <t>AI수정</t>
        </is>
      </c>
      <c r="C8" s="28" t="inlineStr">
        <is>
          <t>UI</t>
        </is>
      </c>
      <c r="D8" s="29" t="inlineStr">
        <is>
          <t>경계</t>
        </is>
      </c>
      <c r="E8" s="30" t="inlineStr">
        <is>
          <t>최대 30박</t>
        </is>
      </c>
      <c r="F8" s="30" t="inlineStr">
        <is>
          <t>최대 30박까지 예약 가능 (정책)</t>
        </is>
      </c>
      <c r="G8" s="31" t="inlineStr">
        <is>
          <t>1. 서울 / 체크인 2026-12-31 ~ 체크아웃 2027-01-31 (31박) / 2명
2. 호텔 검색 클릭</t>
        </is>
      </c>
      <c r="H8" s="31" t="inlineStr">
        <is>
          <t>'최대 30박까지 예약할 수 있습니다.' 에러 표시</t>
        </is>
      </c>
      <c r="I8" s="30" t="inlineStr">
        <is>
          <t>검색 결과 화면에서 에러 표시. 로그 [ERROR] GET /api/hotels status=400 VALIDATION_ERROR</t>
        </is>
      </c>
      <c r="J8" s="28" t="inlineStr">
        <is>
          <t>Pass</t>
        </is>
      </c>
      <c r="K8" s="28" t="inlineStr">
        <is>
          <t>2026-10-07</t>
        </is>
      </c>
      <c r="L8" s="28" t="n"/>
      <c r="M8" s="31" t="inlineStr">
        <is>
          <t>31박 차단만 확인, 30박 허용 케이스는 미실행. 0박(TC-06)은 화면에서, 31박은 서버에서 차단되어 검증 위치가 일관되지 않음</t>
        </is>
      </c>
      <c r="N8" s="28" t="inlineStr">
        <is>
          <t>High</t>
        </is>
      </c>
      <c r="O8" s="32" t="inlineStr">
        <is>
          <t>① checkIn=D+10, checkOut=D+40(30박)
② checkOut=D+41(31박)</t>
        </is>
      </c>
      <c r="P8" s="28" t="inlineStr">
        <is>
          <t>1.0</t>
        </is>
      </c>
      <c r="Q8" s="28" t="inlineStr">
        <is>
          <t>미실행</t>
        </is>
      </c>
      <c r="R8" s="28" t="inlineStr">
        <is>
          <t>1.1에서 다시 실행하지 않음</t>
        </is>
      </c>
    </row>
    <row r="9" ht="29.85" customHeight="1" s="25">
      <c r="A9" s="28" t="inlineStr">
        <is>
          <t>TC-08</t>
        </is>
      </c>
      <c r="B9" s="28" t="inlineStr">
        <is>
          <t>AI수정</t>
        </is>
      </c>
      <c r="C9" s="28" t="inlineStr">
        <is>
          <t>API</t>
        </is>
      </c>
      <c r="D9" s="29" t="inlineStr">
        <is>
          <t>예외</t>
        </is>
      </c>
      <c r="E9" s="30" t="inlineStr">
        <is>
          <t>날짜 형식 오류·존재하지 않는 날짜</t>
        </is>
      </c>
      <c r="F9" s="30" t="inlineStr">
        <is>
          <t>초기화</t>
        </is>
      </c>
      <c r="G9" s="31" t="inlineStr">
        <is>
          <t>checkIn을 2027/03/10, 2027-02-29(평년), 2027-13-01로 각각 요청</t>
        </is>
      </c>
      <c r="H9" s="31" t="inlineStr">
        <is>
          <t>3건 모두 400 VALIDATION_ERROR, error.details.checkIn 존재</t>
        </is>
      </c>
      <c r="I9" s="31" t="inlineStr">
        <is>
          <t>3건 모두 400, error.code=VALIDATION_ERROR</t>
        </is>
      </c>
      <c r="J9" s="29" t="inlineStr">
        <is>
          <t>Pass</t>
        </is>
      </c>
      <c r="K9" s="28" t="inlineStr">
        <is>
          <t>2026-10-10</t>
        </is>
      </c>
      <c r="L9" s="28" t="n"/>
      <c r="M9" s="31" t="inlineStr">
        <is>
          <t>AI가 명세에 없는 error.details 키를 기대결과로 넘겨짚음 → 조건 제외. README에는 details 포함 조건이 정의되어 있지 않음(필드 입력 오류 예시만 있음). 자동화 1차 실행(10/10)에서 details 조건으로 Fail 후 리뷰하여 TC 수정
날짜는 실행일 기준으로 계산 (평년 2/29는 다가오는 평년으로 생성)
Playwright API 자동화: tests/api/hotels.spec.ts
[1.1] 명세에 'VALIDATION_ERROR는 항상 details 포함'이 추가되어 details 조건 복구. 결과적으로 AI 원문 기대결과가 1.1 명세와 일치함. (1.0 기대결과: 3건 모두 400 VALIDATION_ERROR)</t>
        </is>
      </c>
      <c r="N9" s="28" t="inlineStr">
        <is>
          <t>Mid</t>
        </is>
      </c>
      <c r="O9" s="32" t="inlineStr">
        <is>
          <t>[기대결과 원문] 3건 모두 400 VALIDATION_ERROR, details에 checkIn 키 존재</t>
        </is>
      </c>
      <c r="P9" s="28" t="inlineStr">
        <is>
          <t>1.0</t>
        </is>
      </c>
      <c r="Q9" s="28" t="inlineStr">
        <is>
          <t>Pass</t>
        </is>
      </c>
      <c r="R9" s="28" t="inlineStr">
        <is>
          <t>자동화 회귀 (10/10): 1.0과 동일 / details 검증 복구 후 재실행 Pass</t>
        </is>
      </c>
    </row>
    <row r="10" ht="44" customHeight="1" s="25">
      <c r="A10" s="28" t="inlineStr">
        <is>
          <t>TC-09</t>
        </is>
      </c>
      <c r="B10" s="28" t="inlineStr">
        <is>
          <t>AI수정</t>
        </is>
      </c>
      <c r="C10" s="28" t="inlineStr">
        <is>
          <t>API</t>
        </is>
      </c>
      <c r="D10" s="29" t="inlineStr">
        <is>
          <t>예외</t>
        </is>
      </c>
      <c r="E10" s="30" t="inlineStr">
        <is>
          <t>필수 파라미터 누락</t>
        </is>
      </c>
      <c r="F10" s="30" t="inlineStr">
        <is>
          <t>초기화</t>
        </is>
      </c>
      <c r="G10" s="31" t="inlineStr">
        <is>
          <t>city 없이 GET /api/hotels?checkIn=D+30&amp;checkOut=D+32&amp;guests=2</t>
        </is>
      </c>
      <c r="H10" s="31" t="inlineStr">
        <is>
          <t>400 VALIDATION_ERROR, error.details.city 존재. logs/app.log에 [ERROR] GET /api/hotels user=- params={city 없음} ... status=400 1줄 기록</t>
        </is>
      </c>
      <c r="I10" s="31" t="inlineStr">
        <is>
          <t>400 VALIDATION_ERROR. app.log에 [ERROR] GET /api/hotels ... status=400 1줄 기록 확인</t>
        </is>
      </c>
      <c r="J10" s="29" t="inlineStr">
        <is>
          <t>Pass</t>
        </is>
      </c>
      <c r="K10" s="28" t="inlineStr">
        <is>
          <t>2026-10-10</t>
        </is>
      </c>
      <c r="L10" s="28" t="n"/>
      <c r="M10" s="31" t="inlineStr">
        <is>
          <t>AI가 명세에 없는 error.details 키를 기대결과로 넘겨짚음 → 조건 제외. README에는 details 포함 조건이 정의되어 있지 않음(필드 입력 오류 예시만 있음). 자동화 1차 실행(10/10)에서 details 조건으로 Fail 후 리뷰하여 TC 수정
Playwright API 자동화: tests/api/hotels.spec.ts
[1.1] 명세에 'VALIDATION_ERROR는 항상 details 포함'이 추가되어 details 조건 복구. 로그 형식에 user= 항목도 추가되어 반영. 결과적으로 AI 원문 기대결과가 1.1 명세와 일치함. (1.0 기대결과: 400 VALIDATION_ERROR. logs/app.log에 [ERROR] GET /api/hotels ... status=400 1줄 기록)</t>
        </is>
      </c>
      <c r="N10" s="28" t="inlineStr">
        <is>
          <t>Mid</t>
        </is>
      </c>
      <c r="O10" s="32" t="inlineStr">
        <is>
          <t>[기대결과 원문] 400 VALIDATION_ERROR, details에 city 키 존재. logs/app.log에 [ERROR] GET /api/hotels ... status=400 1줄 기록</t>
        </is>
      </c>
      <c r="P10" s="28" t="inlineStr">
        <is>
          <t>1.0</t>
        </is>
      </c>
      <c r="Q10" s="28" t="inlineStr">
        <is>
          <t>Pass</t>
        </is>
      </c>
      <c r="R10" s="28" t="inlineStr">
        <is>
          <t>1차 Fail → 분류 A (명세 변경): 로그 형식에 user= 추가, details 추가로 테스트 조건 불일치. 앱 동작은 정상
2차 (10/10): 테스트를 1.1 기준(details.city, user= 로그 형식)으로 수정 후 Pass</t>
        </is>
      </c>
    </row>
    <row r="11" ht="29.85" customHeight="1" s="25">
      <c r="A11" s="28" t="inlineStr">
        <is>
          <t>TC-10</t>
        </is>
      </c>
      <c r="B11" s="28" t="inlineStr">
        <is>
          <t>AI</t>
        </is>
      </c>
      <c r="C11" s="28" t="inlineStr">
        <is>
          <t>API</t>
        </is>
      </c>
      <c r="D11" s="29" t="inlineStr">
        <is>
          <t>정상</t>
        </is>
      </c>
      <c r="E11" s="30" t="inlineStr">
        <is>
          <t>만실 호텔은 검색에서 제외</t>
        </is>
      </c>
      <c r="F11" s="30" t="inlineStr">
        <is>
          <t>초기화 후 객실 4, 5에 D+30~D+32 예약 생성</t>
        </is>
      </c>
      <c r="G11" s="31" t="inlineStr">
        <is>
          <t>GET /api/hotels?city=서울&amp;checkIn=D+30&amp;checkOut=D+32&amp;guests=2</t>
        </is>
      </c>
      <c r="H11" s="31" t="inlineStr">
        <is>
          <t>200, 배열 길이 1, id=1만 포함(호텔 2 제외), availableRooms=3</t>
        </is>
      </c>
      <c r="I11" s="31" t="inlineStr">
        <is>
          <t>200, 호텔 1만 반환 (availableRooms=3), 호텔 2 제외</t>
        </is>
      </c>
      <c r="J11" s="29" t="inlineStr">
        <is>
          <t>Pass</t>
        </is>
      </c>
      <c r="K11" s="28" t="inlineStr">
        <is>
          <t>2026-10-10</t>
        </is>
      </c>
      <c r="L11" s="28" t="n"/>
      <c r="M11" s="31" t="inlineStr">
        <is>
          <t>UI TC-01과 데이터가 겹치지 않도록 오늘+40~42일로 실행
Playwright API 자동화: tests/api/hotels.spec.ts</t>
        </is>
      </c>
      <c r="N11" s="28" t="inlineStr">
        <is>
          <t>High</t>
        </is>
      </c>
      <c r="O11" s="32" t="n"/>
      <c r="P11" s="28" t="inlineStr">
        <is>
          <t>1.0</t>
        </is>
      </c>
      <c r="Q11" s="28" t="inlineStr">
        <is>
          <t>Pass</t>
        </is>
      </c>
      <c r="R11" s="28" t="inlineStr">
        <is>
          <t>자동화 회귀 (10/10): 1.0과 동일</t>
        </is>
      </c>
    </row>
    <row r="12" ht="86.55" customHeight="1" s="25">
      <c r="A12" s="28" t="inlineStr">
        <is>
          <t>TC-11</t>
        </is>
      </c>
      <c r="B12" s="28" t="inlineStr">
        <is>
          <t>AI수정</t>
        </is>
      </c>
      <c r="C12" s="28" t="inlineStr">
        <is>
          <t>UI</t>
        </is>
      </c>
      <c r="D12" s="29" t="inlineStr">
        <is>
          <t>정상</t>
        </is>
      </c>
      <c r="E12" s="30" t="inlineStr">
        <is>
          <t>객실 목록과 기간 총액 표시</t>
        </is>
      </c>
      <c r="F12" s="30" t="inlineStr">
        <is>
          <t>초기화</t>
        </is>
      </c>
      <c r="G12" s="31" t="inlineStr">
        <is>
          <t>hotel.html?id=1&amp;checkIn=D+30&amp;checkOut=D+32&amp;guests=2 접속</t>
        </is>
      </c>
      <c r="H12" s="30" t="inlineStr">
        <is>
          <t>호텔 상세에 다음 항목 정상 노출: 호텔명, 주소, 별점, 설명, 숙박 요약(n박·n명·체크인~체크아웃), 객실별 1박 요금·기간 총액·최대 인원·예약 가능 여부
(서울 그랜드 호텔 2박 기준 객실 총액 240,000 / 320,000 / 560,000원)</t>
        </is>
      </c>
      <c r="I12" s="31" t="inlineStr">
        <is>
          <t>호텔명·주소·별점(★ 4.6)·설명·숙박 요약(2박·2명) 노출. 객실 3개 1박 요금·기간 총액(240,000 / 320,000 / 560,000원)·최대 인원·예약 가능 표시</t>
        </is>
      </c>
      <c r="J12" s="29" t="inlineStr">
        <is>
          <t>Pass</t>
        </is>
      </c>
      <c r="K12" s="28" t="inlineStr">
        <is>
          <t>2026-10-10</t>
        </is>
      </c>
      <c r="L12" s="28" t="n"/>
      <c r="M12" s="31" t="inlineStr">
        <is>
          <t>AI 원문은 data-testid 값만 나열 → 사용자가 실제로 보는 화면 요소 기준으로 검증 항목 보강
Playwright UI 자동화: tests/ui/hotel-detail.spec.ts</t>
        </is>
      </c>
      <c r="N12" s="28" t="inlineStr">
        <is>
          <t>High</t>
        </is>
      </c>
      <c r="O12" s="32" t="n"/>
      <c r="P12" s="28" t="inlineStr">
        <is>
          <t>1.0</t>
        </is>
      </c>
      <c r="Q12" s="28" t="inlineStr">
        <is>
          <t>Pass</t>
        </is>
      </c>
      <c r="R12" s="28" t="inlineStr">
        <is>
          <t>자동화 회귀 (10/10): 1.0과 동일</t>
        </is>
      </c>
    </row>
    <row r="13" ht="37.3" customHeight="1" s="25">
      <c r="A13" s="28" t="inlineStr">
        <is>
          <t>TC-12</t>
        </is>
      </c>
      <c r="B13" s="28" t="inlineStr">
        <is>
          <t>AI</t>
        </is>
      </c>
      <c r="C13" s="28" t="inlineStr">
        <is>
          <t>API</t>
        </is>
      </c>
      <c r="D13" s="29" t="inlineStr">
        <is>
          <t>예외</t>
        </is>
      </c>
      <c r="E13" s="30" t="inlineStr">
        <is>
          <t>객실 조회 시 잘못된 호텔 id</t>
        </is>
      </c>
      <c r="F13" s="30" t="inlineStr">
        <is>
          <t>초기화</t>
        </is>
      </c>
      <c r="G13" s="31" t="inlineStr">
        <is>
          <t>① GET /api/hotels/999/rooms
② GET /api/hotels/abc/rooms</t>
        </is>
      </c>
      <c r="H13" s="31" t="inlineStr">
        <is>
          <t>①: 404 NOT_FOUND. ②: 400 VALIDATION_ERROR</t>
        </is>
      </c>
      <c r="I13" s="31" t="inlineStr">
        <is>
          <t>①: 404 NOT_FOUND / ②: 400 VALIDATION_ERROR</t>
        </is>
      </c>
      <c r="J13" s="29" t="inlineStr">
        <is>
          <t>Pass</t>
        </is>
      </c>
      <c r="K13" s="28" t="inlineStr">
        <is>
          <t>2026-10-10</t>
        </is>
      </c>
      <c r="L13" s="28" t="n"/>
      <c r="M13" s="31" t="inlineStr">
        <is>
          <t>Playwright API 자동화: tests/api/hotels.spec.ts</t>
        </is>
      </c>
      <c r="N13" s="28" t="inlineStr">
        <is>
          <t>Mid</t>
        </is>
      </c>
      <c r="O13" s="32" t="n"/>
      <c r="P13" s="28" t="inlineStr">
        <is>
          <t>1.0</t>
        </is>
      </c>
      <c r="Q13" s="28" t="inlineStr">
        <is>
          <t>Pass</t>
        </is>
      </c>
      <c r="R13" s="28" t="inlineStr">
        <is>
          <t>자동화 회귀 (10/10): 1.0과 동일</t>
        </is>
      </c>
    </row>
    <row r="14" ht="29.85" customHeight="1" s="25">
      <c r="A14" s="28" t="inlineStr">
        <is>
          <t>TC-13</t>
        </is>
      </c>
      <c r="B14" s="28" t="inlineStr">
        <is>
          <t>AI</t>
        </is>
      </c>
      <c r="C14" s="28" t="inlineStr">
        <is>
          <t>API</t>
        </is>
      </c>
      <c r="D14" s="29" t="inlineStr">
        <is>
          <t>정상</t>
        </is>
      </c>
      <c r="E14" s="30" t="inlineStr">
        <is>
          <t>기존 예약 반영한 available 계산</t>
        </is>
      </c>
      <c r="F14" s="31" t="inlineStr">
        <is>
          <t>R1 생성</t>
        </is>
      </c>
      <c r="G14" s="31" t="inlineStr">
        <is>
          <t>GET /api/hotels/1/rooms?checkIn=D+31&amp;checkOut=D+33&amp;guests=2</t>
        </is>
      </c>
      <c r="H14" s="31" t="inlineStr">
        <is>
          <t>200. room id 1은 available:false, id 2·3은 available:true</t>
        </is>
      </c>
      <c r="I14" s="31" t="inlineStr">
        <is>
          <t>200. room 1 available:false, room 2·3 available:true</t>
        </is>
      </c>
      <c r="J14" s="29" t="inlineStr">
        <is>
          <t>Pass</t>
        </is>
      </c>
      <c r="K14" s="28" t="inlineStr">
        <is>
          <t>2026-10-10</t>
        </is>
      </c>
      <c r="L14" s="28" t="n"/>
      <c r="M14" s="31" t="inlineStr">
        <is>
          <t>R1을 오늘+50~52일로 생성 후 오늘+51~53일 조회 (데이터 격리)
Playwright API 자동화: tests/api/hotels.spec.ts</t>
        </is>
      </c>
      <c r="N14" s="28" t="inlineStr">
        <is>
          <t>High</t>
        </is>
      </c>
      <c r="O14" s="32" t="n"/>
      <c r="P14" s="28" t="inlineStr">
        <is>
          <t>1.0</t>
        </is>
      </c>
      <c r="Q14" s="28" t="inlineStr">
        <is>
          <t>Pass</t>
        </is>
      </c>
      <c r="R14" s="28" t="inlineStr">
        <is>
          <t>자동화 회귀 (10/10): 1.0과 동일</t>
        </is>
      </c>
    </row>
    <row r="15" ht="117.9" customHeight="1" s="25">
      <c r="A15" s="28" t="inlineStr">
        <is>
          <t>TC-14</t>
        </is>
      </c>
      <c r="B15" s="28" t="inlineStr">
        <is>
          <t>AI수정</t>
        </is>
      </c>
      <c r="C15" s="28" t="inlineStr">
        <is>
          <t>UI</t>
        </is>
      </c>
      <c r="D15" s="29" t="inlineStr">
        <is>
          <t>정상</t>
        </is>
      </c>
      <c r="E15" s="30" t="inlineStr">
        <is>
          <t>검색부터 예약 완료까지 E2E</t>
        </is>
      </c>
      <c r="F15" s="30" t="inlineStr">
        <is>
          <t>총 결제 금액 = 1박 요금 × 숙박일수 (정책)</t>
        </is>
      </c>
      <c r="G15" s="31" t="inlineStr">
        <is>
          <t>1. 제주 / 10/8 ~ 10/11 (3박) / 2명 검색
2. 제주 포레스트 리조트 → 가든 더블(1박 130,000원) 선택
3. 예약 정보 입력 화면의 총 결제 금액 확인
4. 테스트용 정보 입력 후 예약 확정
5. 로그 totalPrice 및 '내 예약 조회' 금액 확인</t>
        </is>
      </c>
      <c r="H15" s="30" t="inlineStr">
        <is>
          <t>입력 화면, 완료 화면, 조회 화면, 저장 금액 모두 390,000원</t>
        </is>
      </c>
      <c r="I15" s="30" t="inlineStr">
        <is>
          <t>입력 화면 390,000원 / 저장 금액 520,000원 (RSV-26FFE469, 로그 16:12:01)</t>
        </is>
      </c>
      <c r="J15" s="28" t="inlineStr">
        <is>
          <t>Fail</t>
        </is>
      </c>
      <c r="K15" s="28" t="inlineStr">
        <is>
          <t>2026-10-08</t>
        </is>
      </c>
      <c r="L15" s="28" t="inlineStr">
        <is>
          <t>#1</t>
        </is>
      </c>
      <c r="M15" s="30" t="inlineStr">
        <is>
          <t>원문 기대결과가 개발 관점(data-testid, DB 행 추가)이고 '예약 완료 여부' 위주라 금액 결함을 놓치기 쉬움 → 화면 금액과 저장 금액 대조로 재작성</t>
        </is>
      </c>
      <c r="N15" s="28" t="inlineStr">
        <is>
          <t>High</t>
        </is>
      </c>
      <c r="O15" s="32" t="inlineStr">
        <is>
          <t>① TC-01 검색
② hotel-detail-btn-1
③ room-select-btn-1
④ 이름 홍길동, 이메일 hong@test.com, 전화 010-1234-5678
⑤ booking-submit</t>
        </is>
      </c>
      <c r="P15" s="28" t="inlineStr">
        <is>
          <t>1.0</t>
        </is>
      </c>
      <c r="Q15" s="28" t="inlineStr">
        <is>
          <t>Fail</t>
        </is>
      </c>
      <c r="R15" s="28" t="inlineStr">
        <is>
          <t>결함 #1 재현 (1.0과 같은 값: 조회 화면 520,000원)</t>
        </is>
      </c>
    </row>
    <row r="16" ht="65.65000000000001" customHeight="1" s="25">
      <c r="A16" s="28" t="inlineStr">
        <is>
          <t>TC-15</t>
        </is>
      </c>
      <c r="B16" s="28" t="inlineStr">
        <is>
          <t>AI</t>
        </is>
      </c>
      <c r="C16" s="28" t="inlineStr">
        <is>
          <t>API</t>
        </is>
      </c>
      <c r="D16" s="29" t="inlineStr">
        <is>
          <t>정상</t>
        </is>
      </c>
      <c r="E16" s="30" t="inlineStr">
        <is>
          <t>예약 생성 응답 검증</t>
        </is>
      </c>
      <c r="F16" s="30" t="inlineStr">
        <is>
          <t>초기화</t>
        </is>
      </c>
      <c r="G16" s="31" t="inlineStr">
        <is>
          <t>POST /api/reservations (객실 2, D+30~D+33, 3명, 유효 정보)</t>
        </is>
      </c>
      <c r="H16" s="31" t="inlineStr">
        <is>
          <t>201. status=CONFIRMED, nights=3, totalPrice=480000, room.pricePerNight=160000, cancelledAt=null. id 정규식 ^RSV-.{8}$ 일치</t>
        </is>
      </c>
      <c r="I16" s="31" t="inlineStr">
        <is>
          <t>201. status·nights·room.pricePerNight·cancelledAt·id 형식은 기대대로이나 totalPrice=640000 (기대 480000)</t>
        </is>
      </c>
      <c r="J16" s="29" t="inlineStr">
        <is>
          <t>Fail</t>
        </is>
      </c>
      <c r="K16" s="28" t="inlineStr">
        <is>
          <t>2026-10-10</t>
        </is>
      </c>
      <c r="L16" s="28" t="inlineStr">
        <is>
          <t>#1</t>
        </is>
      </c>
      <c r="M16" s="31" t="inlineStr">
        <is>
          <t>'객실 2'가 객실 ID 2번인지 객실 2개 예약인지 모호(2실 예약 기능은 없음). 객실 ID로 명시 필요
결함 #1과 같은 원인으로 API에서도 재현 (test.fail로 표시)
Playwright API 자동화: tests/api/reservations.spec.ts</t>
        </is>
      </c>
      <c r="N16" s="28" t="inlineStr">
        <is>
          <t>High</t>
        </is>
      </c>
      <c r="O16" s="32" t="n"/>
      <c r="P16" s="28" t="inlineStr">
        <is>
          <t>1.0</t>
        </is>
      </c>
      <c r="Q16" s="28" t="inlineStr">
        <is>
          <t>Fail</t>
        </is>
      </c>
      <c r="R16" s="28" t="inlineStr">
        <is>
          <t>결함 #1 재현 (1.0과 같은 값: totalPrice 640000)</t>
        </is>
      </c>
    </row>
    <row r="17" ht="44" customHeight="1" s="25">
      <c r="A17" s="28" t="inlineStr">
        <is>
          <t>TC-16</t>
        </is>
      </c>
      <c r="B17" s="28" t="inlineStr">
        <is>
          <t>AI</t>
        </is>
      </c>
      <c r="C17" s="28" t="inlineStr">
        <is>
          <t>API</t>
        </is>
      </c>
      <c r="D17" s="29" t="inlineStr">
        <is>
          <t>경계</t>
        </is>
      </c>
      <c r="E17" s="30" t="inlineStr">
        <is>
          <t>객실 수용 인원 초과</t>
        </is>
      </c>
      <c r="F17" s="30" t="inlineStr">
        <is>
          <t>초기화</t>
        </is>
      </c>
      <c r="G17" s="31" t="inlineStr">
        <is>
          <t>POST 객실 1(정원 2), guests=3 / 같은 조건 guests=2</t>
        </is>
      </c>
      <c r="H17" s="31" t="inlineStr">
        <is>
          <t>guests=3: 400 VALIDATION_ERROR, DB 행 증가 없음. guests=2: 201</t>
        </is>
      </c>
      <c r="I17" s="31" t="inlineStr">
        <is>
          <t>guests=3: 400 VALIDATION_ERROR, DB 행 증가 없음 / guests=2: 201</t>
        </is>
      </c>
      <c r="J17" s="29" t="inlineStr">
        <is>
          <t>Pass</t>
        </is>
      </c>
      <c r="K17" s="28" t="inlineStr">
        <is>
          <t>2026-10-10</t>
        </is>
      </c>
      <c r="L17" s="28" t="n"/>
      <c r="M17" s="31" t="inlineStr">
        <is>
          <t>TC-15와 같은 표기 문제. UI에서는 3명 검색 시 정원 2명 객실이 '예약 불가'로 표시됨을 확인(10/7). 서버 차단 여부는 API 단계에서 확인 → 서버 차단 확인 (10/10)
Playwright API 자동화: tests/api/reservations.spec.ts</t>
        </is>
      </c>
      <c r="N17" s="28" t="inlineStr">
        <is>
          <t>High</t>
        </is>
      </c>
      <c r="O17" s="32" t="n"/>
      <c r="P17" s="28" t="inlineStr">
        <is>
          <t>1.0</t>
        </is>
      </c>
      <c r="Q17" s="28" t="inlineStr">
        <is>
          <t>Pass</t>
        </is>
      </c>
      <c r="R17" s="28" t="inlineStr">
        <is>
          <t>자동화 회귀 (10/10): 1.0과 동일</t>
        </is>
      </c>
    </row>
    <row r="18" ht="70.09999999999999" customHeight="1" s="25">
      <c r="A18" s="28" t="inlineStr">
        <is>
          <t>TC-17</t>
        </is>
      </c>
      <c r="B18" s="28" t="inlineStr">
        <is>
          <t>AI수정</t>
        </is>
      </c>
      <c r="C18" s="28" t="inlineStr">
        <is>
          <t>UI</t>
        </is>
      </c>
      <c r="D18" s="29" t="inlineStr">
        <is>
          <t>예외</t>
        </is>
      </c>
      <c r="E18" s="30" t="inlineStr">
        <is>
          <t>기간 겹치는 중복 예약</t>
        </is>
      </c>
      <c r="F18" s="30" t="inlineStr">
        <is>
          <t>같은 객실은 기간이 겹치면 예약 불가 (정책)
서울 그랜드 호텔 스탠다드 더블에 11/1~11/3 예약 존재 (RSV-A375CEDF)</t>
        </is>
      </c>
      <c r="G18" s="31" t="inlineStr">
        <is>
          <t>1. 서울 / 11/2 ~ 11/4 / 2명 검색
2. 서울 그랜드 호텔 → 객실 목록 확인</t>
        </is>
      </c>
      <c r="H18" s="30" t="inlineStr">
        <is>
          <t>스탠다드 더블 '예약 불가' 표시</t>
        </is>
      </c>
      <c r="I18" s="30" t="inlineStr">
        <is>
          <t>스탠다드 더블 '예약 불가' 표시</t>
        </is>
      </c>
      <c r="J18" s="28" t="inlineStr">
        <is>
          <t>Pass</t>
        </is>
      </c>
      <c r="K18" s="28" t="inlineStr">
        <is>
          <t>2026-10-08</t>
        </is>
      </c>
      <c r="L18" s="28" t="n"/>
      <c r="M18" s="30" t="inlineStr">
        <is>
          <t>기간 겹침 4가지 유형(뒤쪽/앞쪽/감쌈/포함) 중 뒤쪽 1가지만 다룸 → TC-32, 37, 38 추가. 화면 표시만 확인했으며 서버 차단은 API 단계에서 확인
→ 서버 차단 확인 (10/10): URL 직접 진입으로 제출해도 409 ROOM_UNAVAILABLE, 예약 생성 안 됨. 4가지 겹침 유형 비교에 사용 (TC-37 메모 참고)
Playwright UI 자동화: tests/ui/overlap.spec.ts</t>
        </is>
      </c>
      <c r="N18" s="28" t="inlineStr">
        <is>
          <t>High</t>
        </is>
      </c>
      <c r="O18" s="32" t="inlineStr">
        <is>
          <t>POST 객실 1, D+31~D+33</t>
        </is>
      </c>
      <c r="P18" s="28" t="inlineStr">
        <is>
          <t>1.0</t>
        </is>
      </c>
      <c r="Q18" s="28" t="inlineStr">
        <is>
          <t>Pass</t>
        </is>
      </c>
      <c r="R18" s="28" t="inlineStr">
        <is>
          <t>자동화 회귀 (10/10): 1.0과 동일</t>
        </is>
      </c>
    </row>
    <row r="19" ht="29.85" customHeight="1" s="25">
      <c r="A19" s="28" t="inlineStr">
        <is>
          <t>TC-18</t>
        </is>
      </c>
      <c r="B19" s="28" t="inlineStr">
        <is>
          <t>AI</t>
        </is>
      </c>
      <c r="C19" s="28" t="inlineStr">
        <is>
          <t>API</t>
        </is>
      </c>
      <c r="D19" s="29" t="inlineStr">
        <is>
          <t>경계</t>
        </is>
      </c>
      <c r="E19" s="30" t="inlineStr">
        <is>
          <t>체크아웃일=다음 체크인일 허용</t>
        </is>
      </c>
      <c r="F19" s="31" t="inlineStr">
        <is>
          <t>R1 생성</t>
        </is>
      </c>
      <c r="G19" s="31" t="inlineStr">
        <is>
          <t>POST 객실 1, D+32~D+34</t>
        </is>
      </c>
      <c r="H19" s="31" t="inlineStr">
        <is>
          <t>201, status=CONFIRMED. DB에 room_id=1 CONFIRMED 2건</t>
        </is>
      </c>
      <c r="I19" s="31" t="inlineStr">
        <is>
          <t>201 CONFIRMED. DB에 room_id=1 CONFIRMED 2건 확인</t>
        </is>
      </c>
      <c r="J19" s="29" t="inlineStr">
        <is>
          <t>Pass</t>
        </is>
      </c>
      <c r="K19" s="28" t="inlineStr">
        <is>
          <t>2026-10-10</t>
        </is>
      </c>
      <c r="L19" s="28" t="n"/>
      <c r="M19" s="31" t="inlineStr">
        <is>
          <t>R1을 오늘+70~72일로 생성 (데이터 격리)
Playwright API 자동화: tests/api/reservations.spec.ts</t>
        </is>
      </c>
      <c r="N19" s="28" t="inlineStr">
        <is>
          <t>High</t>
        </is>
      </c>
      <c r="O19" s="32" t="n"/>
      <c r="P19" s="28" t="inlineStr">
        <is>
          <t>1.0</t>
        </is>
      </c>
      <c r="Q19" s="28" t="inlineStr">
        <is>
          <t>Pass</t>
        </is>
      </c>
      <c r="R19" s="28" t="inlineStr">
        <is>
          <t>자동화 회귀 (10/10): 1.0과 동일</t>
        </is>
      </c>
    </row>
    <row r="20" ht="27.6" customHeight="1" s="25">
      <c r="A20" s="28" t="inlineStr">
        <is>
          <t>TC-19</t>
        </is>
      </c>
      <c r="B20" s="28" t="inlineStr">
        <is>
          <t>AI</t>
        </is>
      </c>
      <c r="C20" s="28" t="inlineStr">
        <is>
          <t>API</t>
        </is>
      </c>
      <c r="D20" s="29" t="inlineStr">
        <is>
          <t>정상</t>
        </is>
      </c>
      <c r="E20" s="30" t="inlineStr">
        <is>
          <t>취소된 예약 기간 재예약</t>
        </is>
      </c>
      <c r="F20" s="31" t="inlineStr">
        <is>
          <t>R1 생성 후 취소</t>
        </is>
      </c>
      <c r="G20" s="31" t="inlineStr">
        <is>
          <t>POST 객실 1, D+30~D+32 (다른 이메일)</t>
        </is>
      </c>
      <c r="H20" s="31" t="inlineStr">
        <is>
          <t>201. DB에 room_id=1 행 2건(CANCELLED 1, CONFIRMED 1)</t>
        </is>
      </c>
      <c r="I20" s="31" t="inlineStr">
        <is>
          <t>201. DB 해당 기간 room_id=1 행 2건 (CANCELLED 1, CONFIRMED 1)</t>
        </is>
      </c>
      <c r="J20" s="29" t="inlineStr">
        <is>
          <t>Pass</t>
        </is>
      </c>
      <c r="K20" s="28" t="inlineStr">
        <is>
          <t>2026-10-10</t>
        </is>
      </c>
      <c r="L20" s="28" t="n"/>
      <c r="M20" s="31" t="inlineStr">
        <is>
          <t>R1을 오늘+76~78일로 생성 (데이터 격리)
Playwright API 자동화: tests/api/reservations.spec.ts</t>
        </is>
      </c>
      <c r="N20" s="28" t="inlineStr">
        <is>
          <t>Mid</t>
        </is>
      </c>
      <c r="O20" s="32" t="n"/>
      <c r="P20" s="28" t="inlineStr">
        <is>
          <t>1.0</t>
        </is>
      </c>
      <c r="Q20" s="28" t="inlineStr">
        <is>
          <t>Pass</t>
        </is>
      </c>
      <c r="R20" s="28" t="inlineStr">
        <is>
          <t>자동화 회귀 (10/10): 1.0과 동일</t>
        </is>
      </c>
    </row>
    <row r="21" ht="29.85" customHeight="1" s="25">
      <c r="A21" s="28" t="inlineStr">
        <is>
          <t>TC-20</t>
        </is>
      </c>
      <c r="B21" s="28" t="inlineStr">
        <is>
          <t>AI</t>
        </is>
      </c>
      <c r="C21" s="28" t="inlineStr">
        <is>
          <t>API</t>
        </is>
      </c>
      <c r="D21" s="29" t="inlineStr">
        <is>
          <t>예외</t>
        </is>
      </c>
      <c r="E21" s="30" t="inlineStr">
        <is>
          <t>존재하지 않는 객실</t>
        </is>
      </c>
      <c r="F21" s="30" t="inlineStr">
        <is>
          <t>초기화</t>
        </is>
      </c>
      <c r="G21" s="31" t="inlineStr">
        <is>
          <t>POST /api/reservations roomId=999, 나머지 유효</t>
        </is>
      </c>
      <c r="H21" s="31" t="inlineStr">
        <is>
          <t>404 NOT_FOUND, DB 행 증가 없음</t>
        </is>
      </c>
      <c r="I21" s="31" t="inlineStr">
        <is>
          <t>404 NOT_FOUND, DB 행 증가 없음</t>
        </is>
      </c>
      <c r="J21" s="29" t="inlineStr">
        <is>
          <t>Pass</t>
        </is>
      </c>
      <c r="K21" s="28" t="inlineStr">
        <is>
          <t>2026-10-10</t>
        </is>
      </c>
      <c r="L21" s="28" t="n"/>
      <c r="M21" s="31" t="inlineStr">
        <is>
          <t>Playwright API 자동화: tests/api/reservations.spec.ts</t>
        </is>
      </c>
      <c r="N21" s="28" t="inlineStr">
        <is>
          <t>Mid</t>
        </is>
      </c>
      <c r="O21" s="32" t="n"/>
      <c r="P21" s="28" t="inlineStr">
        <is>
          <t>1.0</t>
        </is>
      </c>
      <c r="Q21" s="28" t="inlineStr">
        <is>
          <t>Pass</t>
        </is>
      </c>
      <c r="R21" s="28" t="inlineStr">
        <is>
          <t>자동화 회귀 (10/10): 1.0과 동일</t>
        </is>
      </c>
    </row>
    <row r="22" ht="29.85" customHeight="1" s="25">
      <c r="A22" s="28" t="inlineStr">
        <is>
          <t>TC-21</t>
        </is>
      </c>
      <c r="B22" s="28" t="inlineStr">
        <is>
          <t>AI</t>
        </is>
      </c>
      <c r="C22" s="28" t="inlineStr">
        <is>
          <t>API</t>
        </is>
      </c>
      <c r="D22" s="29" t="inlineStr">
        <is>
          <t>예외</t>
        </is>
      </c>
      <c r="E22" s="31" t="inlineStr">
        <is>
          <t>JSON 아닌 본문</t>
        </is>
      </c>
      <c r="F22" s="30" t="inlineStr">
        <is>
          <t>초기화</t>
        </is>
      </c>
      <c r="G22" s="31" t="inlineStr">
        <is>
          <t>POST /api/reservations, Content-Type: application/json, 본문 {roomId:1,</t>
        </is>
      </c>
      <c r="H22" s="31" t="inlineStr">
        <is>
          <t>400 INVALID_JSON, 응답이 {error:{code,message}} 구조. 500 아님</t>
        </is>
      </c>
      <c r="I22" s="31" t="inlineStr">
        <is>
          <t>400 INVALID_JSON, 응답이 {error:{code,message}} 구조</t>
        </is>
      </c>
      <c r="J22" s="29" t="inlineStr">
        <is>
          <t>Pass</t>
        </is>
      </c>
      <c r="K22" s="28" t="inlineStr">
        <is>
          <t>2026-10-10</t>
        </is>
      </c>
      <c r="L22" s="28" t="n"/>
      <c r="M22" s="31" t="inlineStr">
        <is>
          <t>Playwright API 자동화: tests/api/reservations.spec.ts</t>
        </is>
      </c>
      <c r="N22" s="28" t="inlineStr">
        <is>
          <t>Mid</t>
        </is>
      </c>
      <c r="O22" s="32" t="n"/>
      <c r="P22" s="28" t="inlineStr">
        <is>
          <t>1.0</t>
        </is>
      </c>
      <c r="Q22" s="28" t="inlineStr">
        <is>
          <t>Pass</t>
        </is>
      </c>
      <c r="R22" s="28" t="inlineStr">
        <is>
          <t>자동화 회귀 (10/10): 1.0과 동일</t>
        </is>
      </c>
    </row>
    <row r="23" ht="29.85" customHeight="1" s="25">
      <c r="A23" s="28" t="inlineStr">
        <is>
          <t>TC-22</t>
        </is>
      </c>
      <c r="B23" s="28" t="inlineStr">
        <is>
          <t>AI</t>
        </is>
      </c>
      <c r="C23" s="28" t="inlineStr">
        <is>
          <t>API</t>
        </is>
      </c>
      <c r="D23" s="29" t="inlineStr">
        <is>
          <t>경계</t>
        </is>
      </c>
      <c r="E23" s="30" t="inlineStr">
        <is>
          <t>이름 길이 1/50/51자, 빈 값</t>
        </is>
      </c>
      <c r="F23" s="30" t="inlineStr">
        <is>
          <t>초기화</t>
        </is>
      </c>
      <c r="G23" s="30" t="inlineStr">
        <is>
          <t>이름만 바꿔 4회 POST (날짜는 매번 다른 기간)</t>
        </is>
      </c>
      <c r="H23" s="31" t="inlineStr">
        <is>
          <t>1자·50자: 201. 51자·빈 문자열: 400 VALIDATION_ERROR, details.name 존재</t>
        </is>
      </c>
      <c r="I23" s="31" t="inlineStr">
        <is>
          <t>1자·50자: 201 / 51자·빈 문자열: 400 VALIDATION_ERROR, details.name 존재</t>
        </is>
      </c>
      <c r="J23" s="29" t="inlineStr">
        <is>
          <t>Pass</t>
        </is>
      </c>
      <c r="K23" s="28" t="inlineStr">
        <is>
          <t>2026-10-10</t>
        </is>
      </c>
      <c r="L23" s="28" t="n"/>
      <c r="M23" s="31" t="inlineStr">
        <is>
          <t>Playwright API 자동화: tests/api/reservations.spec.ts</t>
        </is>
      </c>
      <c r="N23" s="28" t="inlineStr">
        <is>
          <t>Mid</t>
        </is>
      </c>
      <c r="O23" s="32" t="n"/>
      <c r="P23" s="28" t="inlineStr">
        <is>
          <t>1.0</t>
        </is>
      </c>
      <c r="Q23" s="28" t="inlineStr">
        <is>
          <t>Pass</t>
        </is>
      </c>
      <c r="R23" s="28" t="inlineStr">
        <is>
          <t>자동화 회귀 (10/10): 1.0과 동일</t>
        </is>
      </c>
    </row>
    <row r="24" ht="44" customHeight="1" s="25">
      <c r="A24" s="28" t="inlineStr">
        <is>
          <t>TC-23</t>
        </is>
      </c>
      <c r="B24" s="28" t="inlineStr">
        <is>
          <t>AI</t>
        </is>
      </c>
      <c r="C24" s="28" t="inlineStr">
        <is>
          <t>API</t>
        </is>
      </c>
      <c r="D24" s="29" t="inlineStr">
        <is>
          <t>경계</t>
        </is>
      </c>
      <c r="E24" s="30" t="inlineStr">
        <is>
          <t>전화번호·이메일 형식</t>
        </is>
      </c>
      <c r="F24" s="30" t="inlineStr">
        <is>
          <t>초기화</t>
        </is>
      </c>
      <c r="G24" s="31" t="inlineStr">
        <is>
          <t>phone=01012345678, 010-123-4567, 010 1234 5678 / email=hong@, hong.test.com으로 각각 POST</t>
        </is>
      </c>
      <c r="H24" s="31" t="inlineStr">
        <is>
          <t>01012345678: 201. 나머지 4건: 400 VALIDATION_ERROR, details에 해당 필드(phone/email) 키 존재</t>
        </is>
      </c>
      <c r="I24" s="31" t="inlineStr">
        <is>
          <t>01012345678: 201 / 010-123-4567: 201 (예약 생성됨, 기대 400) / 010 1234 5678, hong@, hong.test.com: 400, details에 해당 필드 존재</t>
        </is>
      </c>
      <c r="J24" s="29" t="inlineStr">
        <is>
          <t>Fail</t>
        </is>
      </c>
      <c r="K24" s="28" t="inlineStr">
        <is>
          <t>2026-10-10</t>
        </is>
      </c>
      <c r="L24" s="28" t="inlineStr">
        <is>
          <t>#5</t>
        </is>
      </c>
      <c r="M24" s="31" t="inlineStr">
        <is>
          <t>가운데 3자리 번호가 명세 형식(010-1234-5678)과 다르지만 허용됨 → 결함 #5 등록 (test.fail로 표시)
Playwright API 자동화: tests/api/reservations.spec.ts</t>
        </is>
      </c>
      <c r="N24" s="28" t="inlineStr">
        <is>
          <t>Mid</t>
        </is>
      </c>
      <c r="O24" s="32" t="n"/>
      <c r="P24" s="28" t="inlineStr">
        <is>
          <t>1.0</t>
        </is>
      </c>
      <c r="Q24" s="28" t="inlineStr">
        <is>
          <t>Fail</t>
        </is>
      </c>
      <c r="R24" s="28" t="inlineStr">
        <is>
          <t>결함 #5 재현 (자동화 + 탐색 테스트): 010-123-4567 예약됨</t>
        </is>
      </c>
    </row>
    <row r="25" ht="55.95" customHeight="1" s="25">
      <c r="A25" s="28" t="inlineStr">
        <is>
          <t>TC-24</t>
        </is>
      </c>
      <c r="B25" s="28" t="inlineStr">
        <is>
          <t>AI</t>
        </is>
      </c>
      <c r="C25" s="28" t="inlineStr">
        <is>
          <t>UI</t>
        </is>
      </c>
      <c r="D25" s="29" t="inlineStr">
        <is>
          <t>예외</t>
        </is>
      </c>
      <c r="E25" s="30" t="inlineStr">
        <is>
          <t>예약 입력 폼 검증 메시지</t>
        </is>
      </c>
      <c r="F25" s="30" t="inlineStr">
        <is>
          <t>초기화, book.html(객실 1, D+30~D+32, 2명) 진입</t>
        </is>
      </c>
      <c r="G25" s="30" t="inlineStr">
        <is>
          <t>이름 공란, 이메일 abc, 전화 123 입력 후 booking-submit</t>
        </is>
      </c>
      <c r="H25" s="31" t="inlineStr">
        <is>
          <t>guest-name-error, guest-email-error, guest-phone-error 3개 모두 표시. complete.html로 이동하지 않음. DB 예약 0건 유지</t>
        </is>
      </c>
      <c r="I25" s="31" t="inlineStr">
        <is>
          <t>이름·이메일·전화번호 오류 메시지 3개 동시 표시. book.html에 머무름, 예약 생성 요청(POST /api/reservations) 미발생</t>
        </is>
      </c>
      <c r="J25" s="29" t="inlineStr">
        <is>
          <t>Pass</t>
        </is>
      </c>
      <c r="K25" s="28" t="inlineStr">
        <is>
          <t>2026-10-10</t>
        </is>
      </c>
      <c r="L25" s="28" t="n"/>
      <c r="M25" s="30" t="inlineStr">
        <is>
          <t>전화번호 단독 오류는 확인(10/7, '예: 010-1234-5678' 형식 안내 포함). 3개 필드 동시 오류는 미실행 → 3개 필드 동시 오류 확인 (10/10). DB 대신 예약 생성 요청이 서버로 나가지 않는 것으로 확인
Playwright UI 자동화: tests/ui/booking.spec.ts</t>
        </is>
      </c>
      <c r="N25" s="28" t="inlineStr">
        <is>
          <t>High</t>
        </is>
      </c>
      <c r="O25" s="32" t="n"/>
      <c r="P25" s="28" t="inlineStr">
        <is>
          <t>1.0</t>
        </is>
      </c>
      <c r="Q25" s="28" t="inlineStr">
        <is>
          <t>Pass</t>
        </is>
      </c>
      <c r="R25" s="28" t="inlineStr">
        <is>
          <t>자동화 회귀 (10/10): 1.0과 동일</t>
        </is>
      </c>
    </row>
    <row r="26" ht="44" customHeight="1" s="25">
      <c r="A26" s="28" t="inlineStr">
        <is>
          <t>TC-25</t>
        </is>
      </c>
      <c r="B26" s="28" t="inlineStr">
        <is>
          <t>AI수정</t>
        </is>
      </c>
      <c r="C26" s="28" t="inlineStr">
        <is>
          <t>UI</t>
        </is>
      </c>
      <c r="D26" s="29" t="inlineStr">
        <is>
          <t>정상</t>
        </is>
      </c>
      <c r="E26" s="30" t="inlineStr">
        <is>
          <t>대소문자 다른 이메일로 조회</t>
        </is>
      </c>
      <c r="F26" s="30" t="inlineStr">
        <is>
          <t>예약 RSV-199A1DB7 존재 (이메일 guest.test@example.com)</t>
        </is>
      </c>
      <c r="G26" s="31" t="inlineStr">
        <is>
          <t>1. 내 예약 조회
2. 예약번호 RSV-199A1DB7 + 이메일 GUEST.TEST@example.com(대문자) 입력 후 조회</t>
        </is>
      </c>
      <c r="H26" s="30" t="inlineStr">
        <is>
          <t>예약 상세 정상 표시, 상태 '예약 확정'</t>
        </is>
      </c>
      <c r="I26" s="30" t="inlineStr">
        <is>
          <t>예약 상세 표시 (로그 status=200). 참고: 'SOPHIA'만 입력 시 404</t>
        </is>
      </c>
      <c r="J26" s="28" t="inlineStr">
        <is>
          <t>Pass</t>
        </is>
      </c>
      <c r="K26" s="28" t="inlineStr">
        <is>
          <t>2026-10-07</t>
        </is>
      </c>
      <c r="L26" s="28" t="n"/>
      <c r="M26" s="31" t="inlineStr">
        <is>
          <t>'R1' 같은 내부 약어 대신 실제 예약번호로 기재</t>
        </is>
      </c>
      <c r="N26" s="28" t="inlineStr">
        <is>
          <t>High</t>
        </is>
      </c>
      <c r="O26" s="32" t="inlineStr">
        <is>
          <t>my.html에서 lookup-id=R1 번호, lookup-email=HONG@TEST.COM → lookup-submit</t>
        </is>
      </c>
      <c r="P26" s="28" t="inlineStr">
        <is>
          <t>1.0</t>
        </is>
      </c>
      <c r="Q26" s="28" t="inlineStr">
        <is>
          <t>미실행</t>
        </is>
      </c>
      <c r="R26" s="28" t="inlineStr">
        <is>
          <t>1.1에서 다시 실행하지 않음</t>
        </is>
      </c>
    </row>
    <row r="27" ht="85.05" customHeight="1" s="25">
      <c r="A27" s="28" t="inlineStr">
        <is>
          <t>TC-26</t>
        </is>
      </c>
      <c r="B27" s="28" t="inlineStr">
        <is>
          <t>AI</t>
        </is>
      </c>
      <c r="C27" s="28" t="inlineStr">
        <is>
          <t>API</t>
        </is>
      </c>
      <c r="D27" s="29" t="inlineStr">
        <is>
          <t>예외</t>
        </is>
      </c>
      <c r="E27" s="30" t="inlineStr">
        <is>
          <t>조회 시 이메일 불일치·누락</t>
        </is>
      </c>
      <c r="F27" s="31" t="inlineStr">
        <is>
          <t>R1 생성</t>
        </is>
      </c>
      <c r="G27" s="31" t="inlineStr">
        <is>
          <t>① GET /api/reservations/{R1}?email=other@test.com
② GET /api/reservations/{R1}
③ GET /api/reservations/RSV-00000000?email=hong@test.com</t>
        </is>
      </c>
      <c r="H27" s="31" t="inlineStr">
        <is>
          <t>①: 404 NOT_FOUND. ②: 400 VALIDATION_ERROR. ③: 404 NOT_FOUND. ①의 응답 본문에 예약 정보(이름·전화) 미포함</t>
        </is>
      </c>
      <c r="I27" s="31" t="inlineStr">
        <is>
          <t>①: 404 NOT_FOUND, 응답에 이름·전화 미포함 / ②: 400 VALIDATION_ERROR / ③: 404 NOT_FOUND</t>
        </is>
      </c>
      <c r="J27" s="29" t="inlineStr">
        <is>
          <t>Pass</t>
        </is>
      </c>
      <c r="K27" s="28" t="inlineStr">
        <is>
          <t>2026-10-10</t>
        </is>
      </c>
      <c r="L27" s="28" t="n"/>
      <c r="M27" s="31" t="inlineStr">
        <is>
          <t>R1을 오늘+100~102일로 생성 (데이터 격리)
Playwright API 자동화: tests/api/reservations.spec.ts</t>
        </is>
      </c>
      <c r="N27" s="28" t="inlineStr">
        <is>
          <t>High</t>
        </is>
      </c>
      <c r="O27" s="32" t="n"/>
      <c r="P27" s="28" t="inlineStr">
        <is>
          <t>1.0</t>
        </is>
      </c>
      <c r="Q27" s="28" t="inlineStr">
        <is>
          <t>Pass</t>
        </is>
      </c>
      <c r="R27" s="28" t="inlineStr">
        <is>
          <t>자동화 회귀 (10/10): 1.0과 동일</t>
        </is>
      </c>
    </row>
    <row r="28" ht="79.84999999999999" customHeight="1" s="25">
      <c r="A28" s="28" t="inlineStr">
        <is>
          <t>TC-27</t>
        </is>
      </c>
      <c r="B28" s="28" t="inlineStr">
        <is>
          <t>AI</t>
        </is>
      </c>
      <c r="C28" s="28" t="inlineStr">
        <is>
          <t>UI</t>
        </is>
      </c>
      <c r="D28" s="29" t="inlineStr">
        <is>
          <t>정상</t>
        </is>
      </c>
      <c r="E28" s="30" t="inlineStr">
        <is>
          <t>예약 취소 확정</t>
        </is>
      </c>
      <c r="F28" s="31" t="inlineStr">
        <is>
          <t>R1 생성, my.html에서 R1 조회 완료</t>
        </is>
      </c>
      <c r="G28" s="31" t="inlineStr">
        <is>
          <t>cancel-btn → cancel-confirm 패널 노출 확인 → cancel-confirm-yes</t>
        </is>
      </c>
      <c r="H28" s="31" t="inlineStr">
        <is>
          <t>cancel-result 표시. reservation-status 텍스트 "취소됨", data-status=CANCELLED. reservation-cancelled-at 값 표시. DB status=CANCELLED, cancelled_at NOT NULL</t>
        </is>
      </c>
      <c r="I28" s="30" t="inlineStr">
        <is>
          <t>취소 후 상태 '취소됨', 로그 status=CANCELLED (RSV-199A1DB7)</t>
        </is>
      </c>
      <c r="J28" s="28" t="inlineStr">
        <is>
          <t>Pass</t>
        </is>
      </c>
      <c r="K28" s="28" t="inlineStr">
        <is>
          <t>2026-10-07</t>
        </is>
      </c>
      <c r="L28" s="28" t="n"/>
      <c r="M28" s="31" t="n"/>
      <c r="N28" s="28" t="inlineStr">
        <is>
          <t>High</t>
        </is>
      </c>
      <c r="O28" s="32" t="n"/>
      <c r="P28" s="28" t="inlineStr">
        <is>
          <t>1.0</t>
        </is>
      </c>
      <c r="Q28" s="28" t="inlineStr">
        <is>
          <t>미실행</t>
        </is>
      </c>
      <c r="R28" s="28" t="inlineStr">
        <is>
          <t>1.1에서 다시 실행하지 않음</t>
        </is>
      </c>
    </row>
    <row r="29" ht="44" customHeight="1" s="25">
      <c r="A29" s="28" t="inlineStr">
        <is>
          <t>TC-28</t>
        </is>
      </c>
      <c r="B29" s="28" t="inlineStr">
        <is>
          <t>AI수정</t>
        </is>
      </c>
      <c r="C29" s="28" t="inlineStr">
        <is>
          <t>UI</t>
        </is>
      </c>
      <c r="D29" s="29" t="inlineStr">
        <is>
          <t>정상</t>
        </is>
      </c>
      <c r="E29" s="30" t="inlineStr">
        <is>
          <t>취소 확인 패널에서 철회</t>
        </is>
      </c>
      <c r="F29" s="31" t="inlineStr">
        <is>
          <t>R1 생성, my.html에서 R1 조회 완료</t>
        </is>
      </c>
      <c r="G29" s="31" t="inlineStr">
        <is>
          <t>1. 내 예약 조회 → 예약 상세 진입
2. 예약 취소 클릭 → 확인 패널 노출 확인
3. '아니요' 클릭</t>
        </is>
      </c>
      <c r="H29" s="30" t="inlineStr">
        <is>
          <t>확인 패널 닫힘, 상태 '예약 확정' 유지, 취소 요청(로그 /cancel) 없음</t>
        </is>
      </c>
      <c r="I29" s="30" t="inlineStr">
        <is>
          <t>패널 닫힘, 예약 확정 유지, 로그에 /cancel 없음</t>
        </is>
      </c>
      <c r="J29" s="28" t="inlineStr">
        <is>
          <t>Pass</t>
        </is>
      </c>
      <c r="K29" s="28" t="inlineStr">
        <is>
          <t>2026-10-08</t>
        </is>
      </c>
      <c r="L29" s="28" t="n"/>
      <c r="M29" s="30" t="inlineStr">
        <is>
          <t>리뷰 초안에 TC-27(실제 취소) 확인 항목이 섞여 있어 '철회'만 확인하도록 분리. 확인 UI는 브라우저 팝업이 아닌 페이지 내 패널</t>
        </is>
      </c>
      <c r="N29" s="28" t="inlineStr">
        <is>
          <t>Mid</t>
        </is>
      </c>
      <c r="O29" s="32" t="inlineStr">
        <is>
          <t>cancel-btn → cancel-confirm-no</t>
        </is>
      </c>
      <c r="P29" s="28" t="inlineStr">
        <is>
          <t>1.0</t>
        </is>
      </c>
      <c r="Q29" s="28" t="inlineStr">
        <is>
          <t>미실행</t>
        </is>
      </c>
      <c r="R29" s="28" t="inlineStr">
        <is>
          <t>1.1에서 다시 실행하지 않음</t>
        </is>
      </c>
    </row>
    <row r="30" ht="41.75" customHeight="1" s="25">
      <c r="A30" s="28" t="inlineStr">
        <is>
          <t>TC-29</t>
        </is>
      </c>
      <c r="B30" s="28" t="inlineStr">
        <is>
          <t>AI</t>
        </is>
      </c>
      <c r="C30" s="28" t="inlineStr">
        <is>
          <t>API</t>
        </is>
      </c>
      <c r="D30" s="29" t="inlineStr">
        <is>
          <t>예외</t>
        </is>
      </c>
      <c r="E30" s="30" t="inlineStr">
        <is>
          <t>이미 취소된 예약 재취소</t>
        </is>
      </c>
      <c r="F30" s="31" t="inlineStr">
        <is>
          <t>R1 생성 후 취소(cancelled_at 값 기록)</t>
        </is>
      </c>
      <c r="G30" s="31" t="inlineStr">
        <is>
          <t>POST /api/reservations/{R1}/cancel {"email":"hong@test.com"}</t>
        </is>
      </c>
      <c r="H30" s="31" t="inlineStr">
        <is>
          <t>409 ALREADY_CANCELLED. DB cancelled_at이 첫 취소 시각과 동일(갱신 안 됨)</t>
        </is>
      </c>
      <c r="I30" s="31" t="inlineStr">
        <is>
          <t>409 ALREADY_CANCELLED. DB cancelled_at이 첫 취소 시각과 동일</t>
        </is>
      </c>
      <c r="J30" s="29" t="inlineStr">
        <is>
          <t>Pass</t>
        </is>
      </c>
      <c r="K30" s="28" t="inlineStr">
        <is>
          <t>2026-10-10</t>
        </is>
      </c>
      <c r="L30" s="28" t="n"/>
      <c r="M30" s="31" t="inlineStr">
        <is>
          <t>R1을 오늘+104~106일로 생성 (데이터 격리)
Playwright API 자동화: tests/api/reservations.spec.ts</t>
        </is>
      </c>
      <c r="N30" s="28" t="inlineStr">
        <is>
          <t>Mid</t>
        </is>
      </c>
      <c r="O30" s="32" t="n"/>
      <c r="P30" s="28" t="inlineStr">
        <is>
          <t>1.0</t>
        </is>
      </c>
      <c r="Q30" s="28" t="inlineStr">
        <is>
          <t>Pass</t>
        </is>
      </c>
      <c r="R30" s="28" t="inlineStr">
        <is>
          <t>자동화 회귀 (10/10): 1.0과 동일</t>
        </is>
      </c>
    </row>
    <row r="31" ht="67.90000000000001" customHeight="1" s="25">
      <c r="A31" s="28" t="inlineStr">
        <is>
          <t>TC-30</t>
        </is>
      </c>
      <c r="B31" s="28" t="inlineStr">
        <is>
          <t>AI수정</t>
        </is>
      </c>
      <c r="C31" s="28" t="inlineStr">
        <is>
          <t>UI</t>
        </is>
      </c>
      <c r="D31" s="29" t="inlineStr">
        <is>
          <t>경계</t>
        </is>
      </c>
      <c r="E31" s="30" t="inlineStr">
        <is>
          <t>체크인 당일 취소 불가, 전날 가능</t>
        </is>
      </c>
      <c r="F31" s="30" t="inlineStr">
        <is>
          <t>체크인 당일부터는 취소 불가 (정책)</t>
        </is>
      </c>
      <c r="G31" s="31" t="inlineStr">
        <is>
          <t>1. 제주 / 오늘(10/8) ~ 10/11 예약 생성 (RSV-26FFE469)
2. 내 예약 조회 → 예약 취소 → '예'</t>
        </is>
      </c>
      <c r="H31" s="31" t="inlineStr">
        <is>
          <t>'체크인 당일 이후에는 예약을 취소할 수 없습니다.' 표시, 상태 '예약 확정' 유지</t>
        </is>
      </c>
      <c r="I31" s="30" t="inlineStr">
        <is>
          <t>에러 메시지 표시, 상태 유지. 로그 status=409 CANCELLATION_CLOSED
(체크인 전 예약 취소 허용은 RSV-199A1DB7로 확인)</t>
        </is>
      </c>
      <c r="J31" s="28" t="inlineStr">
        <is>
          <t>Pass</t>
        </is>
      </c>
      <c r="K31" s="28" t="inlineStr">
        <is>
          <t>2026-10-08</t>
        </is>
      </c>
      <c r="L31" s="28" t="n"/>
      <c r="M31" s="30" t="inlineStr">
        <is>
          <t>원문은 API 전용 절차 → 화면으로 재현. 핵심은 '취소 성공'이 아니라 '당일 취소 차단'임을 절차에 명확히 표기</t>
        </is>
      </c>
      <c r="N31" s="28" t="inlineStr">
        <is>
          <t>High</t>
        </is>
      </c>
      <c r="O31" s="32" t="inlineStr">
        <is>
          <t>A, B 각각 POST /cancel (올바른 이메일)</t>
        </is>
      </c>
      <c r="P31" s="28" t="inlineStr">
        <is>
          <t>1.0</t>
        </is>
      </c>
      <c r="Q31" s="28" t="inlineStr">
        <is>
          <t>미실행</t>
        </is>
      </c>
      <c r="R31" s="28" t="inlineStr">
        <is>
          <t>1.1에서 다시 실행하지 않음</t>
        </is>
      </c>
    </row>
    <row r="32" ht="44" customHeight="1" s="25">
      <c r="A32" s="28" t="inlineStr">
        <is>
          <t>TC-31</t>
        </is>
      </c>
      <c r="B32" s="28" t="inlineStr">
        <is>
          <t>QA추가</t>
        </is>
      </c>
      <c r="C32" s="28" t="inlineStr">
        <is>
          <t>UI</t>
        </is>
      </c>
      <c r="D32" s="29" t="inlineStr">
        <is>
          <t>정상</t>
        </is>
      </c>
      <c r="E32" s="30" t="inlineStr">
        <is>
          <t>예약~조회 화면 간 금액 일치</t>
        </is>
      </c>
      <c r="F32" s="30" t="inlineStr">
        <is>
          <t>총 결제 금액은 모든 화면에서 동일해야 함</t>
        </is>
      </c>
      <c r="G32" s="31" t="inlineStr">
        <is>
          <t>1. TC-14와 동일하게 예약 생성
2. 예약 정보 입력 / 예약 완료 / 내 예약 조회 화면의 총 결제 금액 비교</t>
        </is>
      </c>
      <c r="H32" s="30" t="inlineStr">
        <is>
          <t>모든 화면 390,000원</t>
        </is>
      </c>
      <c r="I32" s="30" t="inlineStr">
        <is>
          <t>예약 정보 입력 390,000원 / 조회 화면 520,000원 (RSV-26FFE469)</t>
        </is>
      </c>
      <c r="J32" s="28" t="inlineStr">
        <is>
          <t>Fail</t>
        </is>
      </c>
      <c r="K32" s="28" t="inlineStr">
        <is>
          <t>2026-10-08</t>
        </is>
      </c>
      <c r="L32" s="28" t="inlineStr">
        <is>
          <t>#1</t>
        </is>
      </c>
      <c r="M32" s="31" t="inlineStr">
        <is>
          <t>AI 생성 TC에 없던 화면 간 정합성 관점. 고객이 예약 때와 다른 금액을 보게 됨</t>
        </is>
      </c>
      <c r="N32" s="28" t="inlineStr">
        <is>
          <t>High</t>
        </is>
      </c>
      <c r="O32" s="32" t="n"/>
      <c r="P32" s="28" t="inlineStr">
        <is>
          <t>1.0</t>
        </is>
      </c>
      <c r="Q32" s="28" t="inlineStr">
        <is>
          <t>Fail</t>
        </is>
      </c>
      <c r="R32" s="28" t="inlineStr">
        <is>
          <t>결함 #1 재현 (탐색 테스트)</t>
        </is>
      </c>
    </row>
    <row r="33" ht="65.65000000000001" customHeight="1" s="25">
      <c r="A33" s="28" t="inlineStr">
        <is>
          <t>TC-32</t>
        </is>
      </c>
      <c r="B33" s="28" t="inlineStr">
        <is>
          <t>QA추가</t>
        </is>
      </c>
      <c r="C33" s="28" t="inlineStr">
        <is>
          <t>UI</t>
        </is>
      </c>
      <c r="D33" s="29" t="inlineStr">
        <is>
          <t>예외</t>
        </is>
      </c>
      <c r="E33" s="30" t="inlineStr">
        <is>
          <t>기존 예약 앞쪽에 걸치는 기간 예약 (UI 우회)</t>
        </is>
      </c>
      <c r="F33" s="30" t="inlineStr">
        <is>
          <t>같은 객실은 기간이 겹치면 예약 불가 (정책)
객실 1에 11/1~11/3 예약 존재</t>
        </is>
      </c>
      <c r="G33" s="31" t="inlineStr">
        <is>
          <t>1. 주소창에 직접 입력하여 예약 화면 진입
   localhost:3000/book.html?hotelId=1&amp;roomId=1&amp;checkIn=2026-10-31&amp;checkOut=2026-11-02&amp;guests=2
2. 정보 입력 후 예약 확정</t>
        </is>
      </c>
      <c r="H33" s="31" t="inlineStr">
        <is>
          <t>409 에러, 예약 생성 안 됨</t>
        </is>
      </c>
      <c r="I33" s="31" t="inlineStr">
        <is>
          <t>201 성공, RSV-E71EEA68 생성 → 11/1 숙박일 이중 예약 (로그 16:21:46)</t>
        </is>
      </c>
      <c r="J33" s="28" t="inlineStr">
        <is>
          <t>Fail</t>
        </is>
      </c>
      <c r="K33" s="28" t="inlineStr">
        <is>
          <t>2026-10-08</t>
        </is>
      </c>
      <c r="L33" s="28" t="inlineStr">
        <is>
          <t>#2</t>
        </is>
      </c>
      <c r="M33" s="30" t="inlineStr">
        <is>
          <t>객실 목록 화면은 '예약 불가'로 정상 표시 → 화면만 검증했다면 놓쳤을 결함. URL 조작으로 서버 검증 확인
Playwright UI 자동화로 재확인 (10/10, test.fail): tests/ui/overlap.spec.ts</t>
        </is>
      </c>
      <c r="N33" s="28" t="inlineStr">
        <is>
          <t>High</t>
        </is>
      </c>
      <c r="O33" s="32" t="n"/>
      <c r="P33" s="28" t="inlineStr">
        <is>
          <t>1.0</t>
        </is>
      </c>
      <c r="Q33" s="28" t="inlineStr">
        <is>
          <t>Fail</t>
        </is>
      </c>
      <c r="R33" s="28" t="inlineStr">
        <is>
          <t>결함 #2 재현 (201 중복 예약)</t>
        </is>
      </c>
    </row>
    <row r="34" ht="44" customHeight="1" s="25">
      <c r="A34" s="28" t="inlineStr">
        <is>
          <t>TC-33</t>
        </is>
      </c>
      <c r="B34" s="28" t="inlineStr">
        <is>
          <t>QA추가</t>
        </is>
      </c>
      <c r="C34" s="28" t="inlineStr">
        <is>
          <t>UI</t>
        </is>
      </c>
      <c r="D34" s="29" t="inlineStr">
        <is>
          <t>예외</t>
        </is>
      </c>
      <c r="E34" s="30" t="inlineStr">
        <is>
          <t>해외 전화번호 입력</t>
        </is>
      </c>
      <c r="F34" s="30" t="inlineStr">
        <is>
          <t>전화번호 입력 정책 미정의 (이름은 영문 허용)</t>
        </is>
      </c>
      <c r="G34" s="31" t="inlineStr">
        <is>
          <t>1. 예약 정보 입력 화면 진입
2. 이름 'Jane Doe', 전화번호 07700900123(영국) 입력 후 예약 확정</t>
        </is>
      </c>
      <c r="H34" s="30" t="inlineStr">
        <is>
          <t>정책 확인 필요</t>
        </is>
      </c>
      <c r="I34" s="31" t="inlineStr">
        <is>
          <t>'전화번호 형식이 올바르지 않습니다.' 표시, 예약 불가</t>
        </is>
      </c>
      <c r="J34" s="29" t="inlineStr">
        <is>
          <t>확인필요</t>
        </is>
      </c>
      <c r="K34" s="28" t="inlineStr">
        <is>
          <t>2026-10-07</t>
        </is>
      </c>
      <c r="L34" s="28" t="inlineStr">
        <is>
          <t>#4</t>
        </is>
      </c>
      <c r="M34" s="30" t="inlineStr">
        <is>
          <t>이름(영문 허용)과 전화번호(국내 형식만) 정책 불일치. 여행 서비스 특성상 해외 사용자 고려 필요
[QA 정책 제안 2026-10-13, 확정 B] 국가 선택 + +국가번호(E.164) 형식으로 국제 전화번호 허용. 선택지: A 국내 형식만 유지(안내 문구 추가) / B 국제 형식 허용 / C 전화번호 선택 입력. 이유: 숙박 서비스는 해외 고객 전제, 영문 이름 허용과 일관. 한 형식으로 저장하면 PHONE_RE가 011·016 앞자리와 하이픈 혼용까지 허용하는 문제(#5)도 국가별 규칙으로 재정의 가능. 연락처는 숙소 운영에 필요해 C보다 나음</t>
        </is>
      </c>
      <c r="N34" s="28" t="inlineStr">
        <is>
          <t>Mid</t>
        </is>
      </c>
      <c r="O34" s="32" t="n"/>
      <c r="P34" s="28" t="inlineStr">
        <is>
          <t>1.0</t>
        </is>
      </c>
      <c r="Q34" s="28" t="inlineStr">
        <is>
          <t>미실행</t>
        </is>
      </c>
      <c r="R34" s="28" t="inlineStr">
        <is>
          <t>1.1에서 다시 실행하지 않음</t>
        </is>
      </c>
    </row>
    <row r="35" ht="29.85" customHeight="1" s="25">
      <c r="A35" s="28" t="inlineStr">
        <is>
          <t>TC-34</t>
        </is>
      </c>
      <c r="B35" s="28" t="inlineStr">
        <is>
          <t>QA추가</t>
        </is>
      </c>
      <c r="C35" s="29" t="inlineStr">
        <is>
          <t>로그</t>
        </is>
      </c>
      <c r="D35" s="29" t="inlineStr">
        <is>
          <t>예외</t>
        </is>
      </c>
      <c r="E35" s="30" t="inlineStr">
        <is>
          <t>로그 내 개인정보 마스킹</t>
        </is>
      </c>
      <c r="F35" s="30" t="inlineStr">
        <is>
          <t>개인정보는 마스킹하여 기록</t>
        </is>
      </c>
      <c r="G35" s="31" t="inlineStr">
        <is>
          <t>1. 예약 생성 / 조회 / 취소 수행
2. logs/app.log 확인</t>
        </is>
      </c>
      <c r="H35" s="30" t="inlineStr">
        <is>
          <t>이름·이메일·전화번호 마스킹 기록</t>
        </is>
      </c>
      <c r="I35" s="30" t="inlineStr">
        <is>
          <t>이름·이메일·전화번호 평문 기록</t>
        </is>
      </c>
      <c r="J35" s="28" t="inlineStr">
        <is>
          <t>Fail</t>
        </is>
      </c>
      <c r="K35" s="28" t="inlineStr">
        <is>
          <t>2026-10-07</t>
        </is>
      </c>
      <c r="L35" s="28" t="inlineStr">
        <is>
          <t>#3</t>
        </is>
      </c>
      <c r="M35" s="30" t="inlineStr">
        <is>
          <t>기능 테스트만으로는 드러나지 않는 비기능 결함</t>
        </is>
      </c>
      <c r="N35" s="28" t="inlineStr">
        <is>
          <t>Mid</t>
        </is>
      </c>
      <c r="O35" s="32" t="n"/>
      <c r="P35" s="28" t="inlineStr">
        <is>
          <t>1.0</t>
        </is>
      </c>
      <c r="Q35" s="28" t="inlineStr">
        <is>
          <t>Fail</t>
        </is>
      </c>
      <c r="R35" s="28" t="inlineStr">
        <is>
          <t>결함 #3 재현 (탐색 테스트): 로그에 이름·이메일·전화번호 평문</t>
        </is>
      </c>
    </row>
    <row r="36" ht="44" customHeight="1" s="25">
      <c r="A36" s="28" t="inlineStr">
        <is>
          <t>TC-35</t>
        </is>
      </c>
      <c r="B36" s="28" t="inlineStr">
        <is>
          <t>QA추가</t>
        </is>
      </c>
      <c r="C36" s="28" t="inlineStr">
        <is>
          <t>UI</t>
        </is>
      </c>
      <c r="D36" s="29" t="inlineStr">
        <is>
          <t>예외</t>
        </is>
      </c>
      <c r="E36" s="30" t="inlineStr">
        <is>
          <t>예약 확정 버튼 더블 클릭</t>
        </is>
      </c>
      <c r="F36" s="31" t="inlineStr">
        <is>
          <t>1회 클릭 = 1건 예약</t>
        </is>
      </c>
      <c r="G36" s="31" t="inlineStr">
        <is>
          <t>1. 예약 정보 입력
2. 예약 확정 버튼 빠르게 2회 클릭
3. 로그 POST /api/reservations 건수 확인</t>
        </is>
      </c>
      <c r="H36" s="30" t="inlineStr">
        <is>
          <t>예약 1건만 생성</t>
        </is>
      </c>
      <c r="I36" s="31" t="inlineStr">
        <is>
          <t>더블 클릭 시 POST /api/reservations 1건, 201 (RSV-41FB08EE). 추가 예약 없음</t>
        </is>
      </c>
      <c r="J36" s="29" t="inlineStr">
        <is>
          <t>Pass</t>
        </is>
      </c>
      <c r="K36" s="28" t="inlineStr">
        <is>
          <t>2026-10-10</t>
        </is>
      </c>
      <c r="L36" s="28" t="n"/>
      <c r="M36" s="30" t="inlineStr">
        <is>
          <t>실무 빈출 결함 유형. AI 미생성
수동 실행 (10/10)</t>
        </is>
      </c>
      <c r="N36" s="28" t="inlineStr">
        <is>
          <t>High</t>
        </is>
      </c>
      <c r="O36" s="32" t="n"/>
      <c r="P36" s="28" t="inlineStr">
        <is>
          <t>1.0</t>
        </is>
      </c>
      <c r="Q36" s="28" t="inlineStr">
        <is>
          <t>미실행</t>
        </is>
      </c>
      <c r="R36" s="28" t="inlineStr">
        <is>
          <t>1.1에서 다시 실행하지 않음</t>
        </is>
      </c>
    </row>
    <row r="37" ht="29.85" customHeight="1" s="25">
      <c r="A37" s="28" t="inlineStr">
        <is>
          <t>TC-36</t>
        </is>
      </c>
      <c r="B37" s="28" t="inlineStr">
        <is>
          <t>QA추가</t>
        </is>
      </c>
      <c r="C37" s="28" t="inlineStr">
        <is>
          <t>UI</t>
        </is>
      </c>
      <c r="D37" s="29" t="inlineStr">
        <is>
          <t>예외</t>
        </is>
      </c>
      <c r="E37" s="30" t="inlineStr">
        <is>
          <t>예약 완료 후 뒤로 가기 / 새로고침</t>
        </is>
      </c>
      <c r="F37" s="30" t="inlineStr">
        <is>
          <t>완료 후 재제출 없음</t>
        </is>
      </c>
      <c r="G37" s="31" t="inlineStr">
        <is>
          <t>1. 예약 완료 화면 진입
2. 새로고침 / 뒤로 가기 후 다시 앞으로</t>
        </is>
      </c>
      <c r="H37" s="30" t="inlineStr">
        <is>
          <t>추가 예약 생성 안 됨</t>
        </is>
      </c>
      <c r="I37" s="31" t="inlineStr">
        <is>
          <t>뒤로 가기·새로고침 후 재제출 2회 모두 409 ROOM_UNAVAILABLE, 추가 예약 없음 (RSV-41FB08EE 1건 유지)</t>
        </is>
      </c>
      <c r="J37" s="29" t="inlineStr">
        <is>
          <t>Pass</t>
        </is>
      </c>
      <c r="K37" s="28" t="inlineStr">
        <is>
          <t>2026-10-10</t>
        </is>
      </c>
      <c r="L37" s="28" t="inlineStr">
        <is>
          <t>#6</t>
        </is>
      </c>
      <c r="M37" s="31" t="inlineStr">
        <is>
          <t>AI 미생성
수동 실행 (10/10). 서버 중복 방지는 정상이나 화면 문제 관찰 → 개선 제안 #6
① 예약 완료 후 뒤로 가기 시 버튼이 '예약 처리 중...'에 멈춰 있음
② 새로고침 시 입력 폼이 다시 활성화되고, 제출하면 '이미 예약된 객실입니다' 에러 표시 → 방금 예약한 사용자가 예약 실패로 오해할 수 있음</t>
        </is>
      </c>
      <c r="N37" s="28" t="inlineStr">
        <is>
          <t>Mid</t>
        </is>
      </c>
      <c r="O37" s="32" t="n"/>
      <c r="P37" s="28" t="inlineStr">
        <is>
          <t>1.0</t>
        </is>
      </c>
      <c r="Q37" s="28" t="inlineStr">
        <is>
          <t>미실행</t>
        </is>
      </c>
      <c r="R37" s="28" t="inlineStr">
        <is>
          <t>1.1에서 다시 실행하지 않음</t>
        </is>
      </c>
    </row>
    <row r="38" ht="29.85" customHeight="1" s="25">
      <c r="A38" s="28" t="inlineStr">
        <is>
          <t>TC-37</t>
        </is>
      </c>
      <c r="B38" s="28" t="inlineStr">
        <is>
          <t>QA추가</t>
        </is>
      </c>
      <c r="C38" s="28" t="inlineStr">
        <is>
          <t>UI</t>
        </is>
      </c>
      <c r="D38" s="29" t="inlineStr">
        <is>
          <t>예외</t>
        </is>
      </c>
      <c r="E38" s="30" t="inlineStr">
        <is>
          <t>기존 예약을 감싸는 기간 예약 (UI 우회)</t>
        </is>
      </c>
      <c r="F38" s="30" t="inlineStr">
        <is>
          <t>객실 1에 11/1~11/3 예약 존재</t>
        </is>
      </c>
      <c r="G38" s="31" t="inlineStr">
        <is>
          <t>TC-32와 동일 방식으로 10/31 ~ 11/4 예약 시도</t>
        </is>
      </c>
      <c r="H38" s="31" t="inlineStr">
        <is>
          <t>409 에러, 예약 생성 안 됨</t>
        </is>
      </c>
      <c r="I38" s="31" t="inlineStr">
        <is>
          <t>201 성공, 예약 생성됨 → 기존 예약 기간 전체가 이중 예약 (기대 409) → 결함 #2와 같은 패턴 (test.fail로 표시)</t>
        </is>
      </c>
      <c r="J38" s="29" t="inlineStr">
        <is>
          <t>Fail</t>
        </is>
      </c>
      <c r="K38" s="28" t="inlineStr">
        <is>
          <t>2026-10-10</t>
        </is>
      </c>
      <c r="L38" s="28" t="inlineStr">
        <is>
          <t>#2</t>
        </is>
      </c>
      <c r="M38" s="30" t="inlineStr">
        <is>
          <t>4가지 겹침 유형(TC-17 뒤쪽 / 32 앞쪽 / 37 감싸기 / 38 포함)을 비교해 공통 원인 패턴을 찾음: 체크인이 기존 예약보다 앞이면 허용(32·37), 기존 예약 안이면 차단(17·38) → 결함 #2로 통합, 이슈 제목 변경
기간 겹침 유형 보완 (TC-17 리뷰 결과)
Playwright UI 자동화: tests/ui/overlap.spec.ts (기존 예약은 API로 생성, 날짜는 오늘+n일로 계산)</t>
        </is>
      </c>
      <c r="N38" s="28" t="inlineStr">
        <is>
          <t>High</t>
        </is>
      </c>
      <c r="O38" s="32" t="n"/>
      <c r="P38" s="28" t="inlineStr">
        <is>
          <t>1.0</t>
        </is>
      </c>
      <c r="Q38" s="28" t="inlineStr">
        <is>
          <t>Fail</t>
        </is>
      </c>
      <c r="R38" s="28" t="inlineStr">
        <is>
          <t>결함 #2 재현 (201 중복 예약)</t>
        </is>
      </c>
    </row>
    <row r="39" ht="29.85" customHeight="1" s="25">
      <c r="A39" s="28" t="inlineStr">
        <is>
          <t>TC-38</t>
        </is>
      </c>
      <c r="B39" s="28" t="inlineStr">
        <is>
          <t>QA추가</t>
        </is>
      </c>
      <c r="C39" s="28" t="inlineStr">
        <is>
          <t>UI</t>
        </is>
      </c>
      <c r="D39" s="29" t="inlineStr">
        <is>
          <t>예외</t>
        </is>
      </c>
      <c r="E39" s="30" t="inlineStr">
        <is>
          <t>기존 예약 안에 포함되는 기간 예약 (UI 우회)</t>
        </is>
      </c>
      <c r="F39" s="30" t="inlineStr">
        <is>
          <t>객실 1에 11/1~11/3 예약 존재</t>
        </is>
      </c>
      <c r="G39" s="31" t="inlineStr">
        <is>
          <t>TC-32와 동일 방식으로 11/1 ~ 11/2 예약 시도</t>
        </is>
      </c>
      <c r="H39" s="31" t="inlineStr">
        <is>
          <t>409 에러, 예약 생성 안 됨</t>
        </is>
      </c>
      <c r="I39" s="31" t="inlineStr">
        <is>
          <t>409 ROOM_UNAVAILABLE, "선택한 날짜에 이미 예약된 객실입니다." 표시, 예약 생성 안 됨</t>
        </is>
      </c>
      <c r="J39" s="29" t="inlineStr">
        <is>
          <t>Pass</t>
        </is>
      </c>
      <c r="K39" s="28" t="inlineStr">
        <is>
          <t>2026-10-10</t>
        </is>
      </c>
      <c r="L39" s="28" t="n"/>
      <c r="M39" s="30" t="inlineStr">
        <is>
          <t>기간 겹침 유형 보완 (TC-17 리뷰 결과)
Playwright UI 자동화: tests/ui/overlap.spec.ts (기존 예약은 API로 생성, 날짜는 오늘+n일로 계산)</t>
        </is>
      </c>
      <c r="N39" s="28" t="inlineStr">
        <is>
          <t>High</t>
        </is>
      </c>
      <c r="O39" s="32" t="n"/>
      <c r="P39" s="28" t="inlineStr">
        <is>
          <t>1.0</t>
        </is>
      </c>
      <c r="Q39" s="28" t="inlineStr">
        <is>
          <t>Pass</t>
        </is>
      </c>
      <c r="R39" s="28" t="inlineStr">
        <is>
          <t>자동화 회귀 (10/10): 1.0과 동일</t>
        </is>
      </c>
    </row>
    <row r="40">
      <c r="A40" s="28" t="inlineStr">
        <is>
          <t>TC-39</t>
        </is>
      </c>
      <c r="B40" s="28" t="inlineStr">
        <is>
          <t>AI</t>
        </is>
      </c>
      <c r="C40" s="28" t="inlineStr">
        <is>
          <t>UI</t>
        </is>
      </c>
      <c r="D40" s="29" t="inlineStr">
        <is>
          <t>정상</t>
        </is>
      </c>
      <c r="E40" s="30" t="inlineStr">
        <is>
          <t>이메일 회원가입 후 자동 로그인</t>
        </is>
      </c>
      <c r="F40" s="30" t="inlineStr">
        <is>
          <t>초기화, 비로그인</t>
        </is>
      </c>
      <c r="G40" s="31" t="inlineStr">
        <is>
          <t>1. 헤더 로그인 → 회원가입
2. 이름·이메일·비밀번호(영문+숫자 8자 이상)·비밀번호 확인 입력 후 가입</t>
        </is>
      </c>
      <c r="H40" s="31" t="inlineStr">
        <is>
          <t>가입 후 원래 화면으로 복귀, 헤더에 이름 표시. DB users에 provider=EMAIL 행 생성</t>
        </is>
      </c>
      <c r="I40" s="31" t="inlineStr">
        <is>
          <t>가입 후 /index.html 복귀, 헤더 "가입테스트님", DB provider=EMAIL</t>
        </is>
      </c>
      <c r="J40" s="29" t="inlineStr">
        <is>
          <t>Pass</t>
        </is>
      </c>
      <c r="K40" s="28" t="inlineStr">
        <is>
          <t>2026-10-10</t>
        </is>
      </c>
      <c r="L40" s="28" t="inlineStr">
        <is>
          <t>#13</t>
        </is>
      </c>
      <c r="M40" s="30" t="inlineStr">
        <is>
          <t>근거: 명세 「회원가입 → returnTo 화면으로 복귀」, 「201 + sid 쿠키 (가입 즉시 로그인)」, users 테이블
Playwright UI 자동화: tests/ui/auth.spec.ts
2026-10-13 수동 확인: 가입 성공 후 안내 없이 returnTo로 이동, 로그인 신호가 헤더 이름뿐 → 개선 제안 #13 (가입 완료 안내 토스트)</t>
        </is>
      </c>
      <c r="N40" s="28" t="inlineStr">
        <is>
          <t>High</t>
        </is>
      </c>
      <c r="O40" s="32" t="n"/>
      <c r="P40" s="28" t="inlineStr">
        <is>
          <t>1.1</t>
        </is>
      </c>
      <c r="Q40" s="28" t="n"/>
      <c r="R40" s="28" t="n"/>
    </row>
    <row r="41">
      <c r="A41" s="28" t="inlineStr">
        <is>
          <t>TC-40</t>
        </is>
      </c>
      <c r="B41" s="28" t="inlineStr">
        <is>
          <t>AI</t>
        </is>
      </c>
      <c r="C41" s="28" t="inlineStr">
        <is>
          <t>API</t>
        </is>
      </c>
      <c r="D41" s="29" t="inlineStr">
        <is>
          <t>경계</t>
        </is>
      </c>
      <c r="E41" s="30" t="inlineStr">
        <is>
          <t>비밀번호 규칙</t>
        </is>
      </c>
      <c r="F41" s="30" t="inlineStr">
        <is>
          <t>초기화</t>
        </is>
      </c>
      <c r="G41" s="31" t="inlineStr">
        <is>
          <t>POST /api/auth/signup을 비밀번호만 바꿔 요청: 7자, 65자, 숫자만, 영문만, 영문+숫자 8자, 영문+숫자 64자</t>
        </is>
      </c>
      <c r="H41" s="31" t="inlineStr">
        <is>
          <t>7자·65자·숫자만·영문만: 400 VALIDATION_ERROR, details.password 존재 / 8자·64자: 201</t>
        </is>
      </c>
      <c r="I41" s="31" t="inlineStr">
        <is>
          <t>7자·65자·숫자만·영문만: 400 details.password / 8자·64자: 201</t>
        </is>
      </c>
      <c r="J41" s="29" t="inlineStr">
        <is>
          <t>Pass</t>
        </is>
      </c>
      <c r="K41" s="28" t="inlineStr">
        <is>
          <t>2026-10-10</t>
        </is>
      </c>
      <c r="L41" s="28" t="n"/>
      <c r="M41" s="30" t="inlineStr">
        <is>
          <t>근거: 명세 「비밀번호: 영문과 숫자를 포함한 8~64자」, 「VALIDATION_ERROR는 항상 details 포함」
Playwright API 자동화: tests/api/auth.spec.ts</t>
        </is>
      </c>
      <c r="N41" s="28" t="inlineStr">
        <is>
          <t>High</t>
        </is>
      </c>
      <c r="O41" s="32" t="n"/>
      <c r="P41" s="28" t="inlineStr">
        <is>
          <t>1.1</t>
        </is>
      </c>
      <c r="Q41" s="28" t="n"/>
      <c r="R41" s="28" t="n"/>
    </row>
    <row r="42">
      <c r="A42" s="28" t="inlineStr">
        <is>
          <t>TC-41</t>
        </is>
      </c>
      <c r="B42" s="28" t="inlineStr">
        <is>
          <t>AI</t>
        </is>
      </c>
      <c r="C42" s="28" t="inlineStr">
        <is>
          <t>API</t>
        </is>
      </c>
      <c r="D42" s="29" t="inlineStr">
        <is>
          <t>예외</t>
        </is>
      </c>
      <c r="E42" s="30" t="inlineStr">
        <is>
          <t>가입된 이메일로 다시 가입 (대소문자만 다르게)</t>
        </is>
      </c>
      <c r="F42" s="30" t="inlineStr">
        <is>
          <t>test@minihotel.test 가입되어 있음</t>
        </is>
      </c>
      <c r="G42" s="31" t="inlineStr">
        <is>
          <t>POST /api/auth/signup email=TEST@minihotel.test</t>
        </is>
      </c>
      <c r="H42" s="31" t="inlineStr">
        <is>
          <t>409 EMAIL_TAKEN, users 행 증가 없음</t>
        </is>
      </c>
      <c r="I42" s="31" t="inlineStr">
        <is>
          <t>409 EMAIL_TAKEN, users 1건 유지</t>
        </is>
      </c>
      <c r="J42" s="29" t="inlineStr">
        <is>
          <t>Pass</t>
        </is>
      </c>
      <c r="K42" s="28" t="inlineStr">
        <is>
          <t>2026-10-10</t>
        </is>
      </c>
      <c r="L42" s="28" t="n"/>
      <c r="M42" s="30" t="inlineStr">
        <is>
          <t>근거: 명세 「409 EMAIL_TAKEN」, 「이메일은 대소문자를 구분하지 않습니다」
Playwright API 자동화: tests/api/auth.spec.ts</t>
        </is>
      </c>
      <c r="N42" s="28" t="inlineStr">
        <is>
          <t>High</t>
        </is>
      </c>
      <c r="O42" s="32" t="n"/>
      <c r="P42" s="28" t="inlineStr">
        <is>
          <t>1.1</t>
        </is>
      </c>
      <c r="Q42" s="28" t="n"/>
      <c r="R42" s="28" t="n"/>
    </row>
    <row r="43">
      <c r="A43" s="28" t="inlineStr">
        <is>
          <t>TC-42</t>
        </is>
      </c>
      <c r="B43" s="28" t="inlineStr">
        <is>
          <t>AI</t>
        </is>
      </c>
      <c r="C43" s="28" t="inlineStr">
        <is>
          <t>UI</t>
        </is>
      </c>
      <c r="D43" s="29" t="inlineStr">
        <is>
          <t>정상</t>
        </is>
      </c>
      <c r="E43" s="30" t="inlineStr">
        <is>
          <t>예약 화면에서 이메일 로그인 후 복귀</t>
        </is>
      </c>
      <c r="F43" s="30" t="inlineStr">
        <is>
          <t>비로그인, 예약 정보 입력 화면 진입 (객실 1, 오늘+30~32일, 2명)</t>
        </is>
      </c>
      <c r="G43" s="31" t="inlineStr">
        <is>
          <t>1. 예약 화면의 로그인 링크 클릭
2. test@minihotel.test / Test1234 로그인</t>
        </is>
      </c>
      <c r="H43" s="31" t="inlineStr">
        <is>
          <t>같은 예약 화면(같은 객실·날짜)으로 복귀, 헤더에 "테스트회원" 표시</t>
        </is>
      </c>
      <c r="I43" s="31" t="inlineStr">
        <is>
          <t>같은 예약 화면(객실·날짜 동일)으로 복귀, 헤더 "테스트회원님"</t>
        </is>
      </c>
      <c r="J43" s="29" t="inlineStr">
        <is>
          <t>Pass</t>
        </is>
      </c>
      <c r="K43" s="28" t="inlineStr">
        <is>
          <t>2026-10-10</t>
        </is>
      </c>
      <c r="L43" s="28" t="n"/>
      <c r="M43" s="30" t="inlineStr">
        <is>
          <t>근거: 명세 「예약 입력 중 로그인하면 같은 예약 화면으로 돌아옵니다」, 헤더 nav-user-name
Playwright UI 자동화: tests/ui/auth.spec.ts</t>
        </is>
      </c>
      <c r="N43" s="28" t="inlineStr">
        <is>
          <t>High</t>
        </is>
      </c>
      <c r="O43" s="32" t="n"/>
      <c r="P43" s="28" t="inlineStr">
        <is>
          <t>1.1</t>
        </is>
      </c>
      <c r="Q43" s="28" t="n"/>
      <c r="R43" s="28" t="n"/>
    </row>
    <row r="44">
      <c r="A44" s="28" t="inlineStr">
        <is>
          <t>TC-43</t>
        </is>
      </c>
      <c r="B44" s="28" t="inlineStr">
        <is>
          <t>AI</t>
        </is>
      </c>
      <c r="C44" s="28" t="inlineStr">
        <is>
          <t>API</t>
        </is>
      </c>
      <c r="D44" s="29" t="inlineStr">
        <is>
          <t>예외</t>
        </is>
      </c>
      <c r="E44" s="30" t="inlineStr">
        <is>
          <t>로그인 실패: 틀린 비밀번호 / 없는 이메일</t>
        </is>
      </c>
      <c r="F44" s="30" t="inlineStr">
        <is>
          <t>초기화</t>
        </is>
      </c>
      <c r="G44" s="31" t="inlineStr">
        <is>
          <t>① test@minihotel.test + 틀린 비밀번호
② 가입되지 않은 이메일 + Test1234</t>
        </is>
      </c>
      <c r="H44" s="31" t="inlineStr">
        <is>
          <t>①② 모두 401 INVALID_CREDENTIALS, 에러 메시지 동일</t>
        </is>
      </c>
      <c r="I44" s="31" t="inlineStr">
        <is>
          <t>둘 다 401 INVALID_CREDENTIALS, 메시지 동일</t>
        </is>
      </c>
      <c r="J44" s="29" t="inlineStr">
        <is>
          <t>Pass</t>
        </is>
      </c>
      <c r="K44" s="28" t="inlineStr">
        <is>
          <t>2026-10-10</t>
        </is>
      </c>
      <c r="L44" s="28" t="n"/>
      <c r="M44" s="30" t="inlineStr">
        <is>
          <t>근거: 명세 「이메일 또는 비밀번호 불일치 (어느 쪽이 틀렸는지 구분하지 않음)」
Playwright API 자동화: tests/api/auth.spec.ts</t>
        </is>
      </c>
      <c r="N44" s="28" t="inlineStr">
        <is>
          <t>High</t>
        </is>
      </c>
      <c r="O44" s="32" t="n"/>
      <c r="P44" s="28" t="inlineStr">
        <is>
          <t>1.1</t>
        </is>
      </c>
      <c r="Q44" s="28" t="n"/>
      <c r="R44" s="28" t="n"/>
    </row>
    <row r="45">
      <c r="A45" s="28" t="inlineStr">
        <is>
          <t>TC-44</t>
        </is>
      </c>
      <c r="B45" s="28" t="inlineStr">
        <is>
          <t>AI</t>
        </is>
      </c>
      <c r="C45" s="28" t="inlineStr">
        <is>
          <t>API</t>
        </is>
      </c>
      <c r="D45" s="29" t="inlineStr">
        <is>
          <t>정상</t>
        </is>
      </c>
      <c r="E45" s="30" t="inlineStr">
        <is>
          <t>인증 방식 2가지 (쿠키 / Bearer 토큰)</t>
        </is>
      </c>
      <c r="F45" s="30" t="inlineStr">
        <is>
          <t>test 계정 로그인 응답의 token, sid 쿠키 확보</t>
        </is>
      </c>
      <c r="G45" s="31" t="inlineStr">
        <is>
          <t>① sid 쿠키만으로 GET /api/auth/me
② Authorization: Bearer &lt;token&gt;만으로 GET /api/auth/me
③ 둘 다 없이 GET /api/auth/me</t>
        </is>
      </c>
      <c r="H45" s="31" t="inlineStr">
        <is>
          <t>①② 200, user.email=test@minihotel.test / ③ 200 {"user": null}</t>
        </is>
      </c>
      <c r="I45" s="31" t="inlineStr">
        <is>
          <t>쿠키·Bearer 각각 user 반환, 둘 다 없으면 200 user:null</t>
        </is>
      </c>
      <c r="J45" s="29" t="inlineStr">
        <is>
          <t>Pass</t>
        </is>
      </c>
      <c r="K45" s="28" t="inlineStr">
        <is>
          <t>2026-10-10</t>
        </is>
      </c>
      <c r="L45" s="28" t="n"/>
      <c r="M45" s="30" t="inlineStr">
        <is>
          <t>근거: 명세 「둘 중 하나만 보내면 됩니다」, 「비로그인이면 200 { "user": null }」
Playwright API 자동화: tests/api/auth.spec.ts</t>
        </is>
      </c>
      <c r="N45" s="28" t="inlineStr">
        <is>
          <t>Mid</t>
        </is>
      </c>
      <c r="O45" s="32" t="n"/>
      <c r="P45" s="28" t="inlineStr">
        <is>
          <t>1.1</t>
        </is>
      </c>
      <c r="Q45" s="28" t="n"/>
      <c r="R45" s="28" t="n"/>
    </row>
    <row r="46">
      <c r="A46" s="28" t="inlineStr">
        <is>
          <t>TC-45</t>
        </is>
      </c>
      <c r="B46" s="28" t="inlineStr">
        <is>
          <t>AI</t>
        </is>
      </c>
      <c r="C46" s="28" t="inlineStr">
        <is>
          <t>API</t>
        </is>
      </c>
      <c r="D46" s="29" t="inlineStr">
        <is>
          <t>정상</t>
        </is>
      </c>
      <c r="E46" s="30" t="inlineStr">
        <is>
          <t>로그아웃</t>
        </is>
      </c>
      <c r="F46" s="30" t="inlineStr">
        <is>
          <t>test 계정 로그인 (token 보관)</t>
        </is>
      </c>
      <c r="G46" s="31" t="inlineStr">
        <is>
          <t>1. POST /api/auth/logout
2. 같은 token으로 GET /api/auth/me, GET /api/me/reservations</t>
        </is>
      </c>
      <c r="H46" s="31" t="inlineStr">
        <is>
          <t>로그아웃 200 {"ok": true}. 이후 /me는 user=null, /me/reservations는 401 UNAUTHORIZED</t>
        </is>
      </c>
      <c r="I46" s="31" t="inlineStr">
        <is>
          <t>로그아웃 200 {ok:true}, 이후 /me null, /me/reservations 401</t>
        </is>
      </c>
      <c r="J46" s="29" t="inlineStr">
        <is>
          <t>Pass</t>
        </is>
      </c>
      <c r="K46" s="28" t="inlineStr">
        <is>
          <t>2026-10-10</t>
        </is>
      </c>
      <c r="L46" s="28" t="n"/>
      <c r="M46" s="30" t="inlineStr">
        <is>
          <t>근거: 명세 「세션 삭제 + 쿠키 제거」, 「/me/reservations 비로그인 401」
Playwright API 자동화: tests/api/auth.spec.ts</t>
        </is>
      </c>
      <c r="N46" s="28" t="inlineStr">
        <is>
          <t>Mid</t>
        </is>
      </c>
      <c r="O46" s="32" t="n"/>
      <c r="P46" s="28" t="inlineStr">
        <is>
          <t>1.1</t>
        </is>
      </c>
      <c r="Q46" s="28" t="n"/>
      <c r="R46" s="28" t="n"/>
    </row>
    <row r="47">
      <c r="A47" s="28" t="inlineStr">
        <is>
          <t>TC-46</t>
        </is>
      </c>
      <c r="B47" s="28" t="inlineStr">
        <is>
          <t>AI</t>
        </is>
      </c>
      <c r="C47" s="28" t="inlineStr">
        <is>
          <t>API</t>
        </is>
      </c>
      <c r="D47" s="29" t="inlineStr">
        <is>
          <t>경계</t>
        </is>
      </c>
      <c r="E47" s="30" t="inlineStr">
        <is>
          <t>세션 만료</t>
        </is>
      </c>
      <c r="F47" s="30" t="inlineStr">
        <is>
          <t>SESSION_TTL_MINUTES=1로 서버 실행, test 계정 로그인</t>
        </is>
      </c>
      <c r="G47" s="31" t="inlineStr">
        <is>
          <t>1분 경과 후 GET /api/auth/me, GET /api/me/reservations</t>
        </is>
      </c>
      <c r="H47" s="31" t="inlineStr">
        <is>
          <t>/me는 user=null, /me/reservations는 401 UNAUTHORIZED</t>
        </is>
      </c>
      <c r="I47" s="31" t="inlineStr">
        <is>
          <t>61초 후 /me null, /me/reservations 401 UNAUTHORIZED</t>
        </is>
      </c>
      <c r="J47" s="29" t="inlineStr">
        <is>
          <t>Pass</t>
        </is>
      </c>
      <c r="K47" s="28" t="inlineStr">
        <is>
          <t>2026-10-10</t>
        </is>
      </c>
      <c r="L47" s="28" t="n"/>
      <c r="M47" s="30" t="inlineStr">
        <is>
          <t>근거: 명세 「SESSION_TTL_MINUTES: 만료 테스트 시 1 등으로 줄여서 사용」 (명세에서 추론) 만료 후 응답은 비로그인 규칙 적용
Playwright API 자동화: tests/short-session/short-session.spec.ts (세션 1분 서버)</t>
        </is>
      </c>
      <c r="N47" s="28" t="inlineStr">
        <is>
          <t>Mid</t>
        </is>
      </c>
      <c r="O47" s="32" t="n"/>
      <c r="P47" s="28" t="inlineStr">
        <is>
          <t>1.1</t>
        </is>
      </c>
      <c r="Q47" s="28" t="n"/>
      <c r="R47" s="28" t="n"/>
    </row>
    <row r="48">
      <c r="A48" s="28" t="inlineStr">
        <is>
          <t>TC-47</t>
        </is>
      </c>
      <c r="B48" s="28" t="inlineStr">
        <is>
          <t>AI</t>
        </is>
      </c>
      <c r="C48" s="28" t="inlineStr">
        <is>
          <t>UI</t>
        </is>
      </c>
      <c r="D48" s="29" t="inlineStr">
        <is>
          <t>정상</t>
        </is>
      </c>
      <c r="E48" s="30" t="inlineStr">
        <is>
          <t>카카오 Mock 로그인</t>
        </is>
      </c>
      <c r="F48" s="30" t="inlineStr">
        <is>
          <t>초기화, 비로그인</t>
        </is>
      </c>
      <c r="G48" s="31" t="inlineStr">
        <is>
          <t>1. 로그인 → 카카오로 로그인
2. Mock 화면에서 kakao.tester@kakao.test 선택</t>
        </is>
      </c>
      <c r="H48" s="31" t="inlineStr">
        <is>
          <t>원래 화면으로 복귀, 헤더에 이름 표시. DB users에 provider=KAKAO 행 생성 (첫 로그인 시 가입)</t>
        </is>
      </c>
      <c r="I48" s="31" t="inlineStr">
        <is>
          <t>/my.html 복귀, 헤더 이름 표시, DB provider=KAKAO</t>
        </is>
      </c>
      <c r="J48" s="29" t="inlineStr">
        <is>
          <t>Pass</t>
        </is>
      </c>
      <c r="K48" s="28" t="inlineStr">
        <is>
          <t>2026-10-10</t>
        </is>
      </c>
      <c r="L48" s="28" t="n"/>
      <c r="M48" s="30" t="inlineStr">
        <is>
          <t>근거: 명세 「Mock OAuth 흐름 4단계」, 「소셜 계정은 처음 로그인할 때 가입」
Playwright UI 자동화: tests/ui/auth.spec.ts</t>
        </is>
      </c>
      <c r="N48" s="28" t="inlineStr">
        <is>
          <t>High</t>
        </is>
      </c>
      <c r="O48" s="32" t="n"/>
      <c r="P48" s="28" t="inlineStr">
        <is>
          <t>1.1</t>
        </is>
      </c>
      <c r="Q48" s="28" t="n"/>
      <c r="R48" s="28" t="n"/>
    </row>
    <row r="49">
      <c r="A49" s="28" t="inlineStr">
        <is>
          <t>TC-48</t>
        </is>
      </c>
      <c r="B49" s="28" t="inlineStr">
        <is>
          <t>AI</t>
        </is>
      </c>
      <c r="C49" s="28" t="inlineStr">
        <is>
          <t>UI</t>
        </is>
      </c>
      <c r="D49" s="29" t="inlineStr">
        <is>
          <t>정상</t>
        </is>
      </c>
      <c r="E49" s="30" t="inlineStr">
        <is>
          <t>구글 Mock 로그인</t>
        </is>
      </c>
      <c r="F49" s="30" t="inlineStr">
        <is>
          <t>초기화, 비로그인</t>
        </is>
      </c>
      <c r="G49" s="31" t="inlineStr">
        <is>
          <t>1. 로그인 → 구글로 로그인
2. Mock 화면에서 google.tester@gmail.test 선택</t>
        </is>
      </c>
      <c r="H49" s="31" t="inlineStr">
        <is>
          <t>원래 화면으로 복귀, 헤더에 이름 표시. DB users에 provider=GOOGLE 행 생성</t>
        </is>
      </c>
      <c r="I49" s="31" t="inlineStr">
        <is>
          <t>/my.html 복귀, 헤더 이름 표시, DB provider=GOOGLE</t>
        </is>
      </c>
      <c r="J49" s="29" t="inlineStr">
        <is>
          <t>Pass</t>
        </is>
      </c>
      <c r="K49" s="28" t="inlineStr">
        <is>
          <t>2026-10-10</t>
        </is>
      </c>
      <c r="L49" s="28" t="n"/>
      <c r="M49" s="30" t="inlineStr">
        <is>
          <t>근거: 명세 TC-47과 동일
Playwright UI 자동화: tests/ui/auth.spec.ts</t>
        </is>
      </c>
      <c r="N49" s="28" t="inlineStr">
        <is>
          <t>High</t>
        </is>
      </c>
      <c r="O49" s="32" t="n"/>
      <c r="P49" s="28" t="inlineStr">
        <is>
          <t>1.1</t>
        </is>
      </c>
      <c r="Q49" s="28" t="n"/>
      <c r="R49" s="28" t="n"/>
    </row>
    <row r="50">
      <c r="A50" s="28" t="inlineStr">
        <is>
          <t>TC-49</t>
        </is>
      </c>
      <c r="B50" s="28" t="inlineStr">
        <is>
          <t>AI</t>
        </is>
      </c>
      <c r="C50" s="28" t="inlineStr">
        <is>
          <t>UI</t>
        </is>
      </c>
      <c r="D50" s="29" t="inlineStr">
        <is>
          <t>예외</t>
        </is>
      </c>
      <c r="E50" s="30" t="inlineStr">
        <is>
          <t>Mock 로그인 화면에서 취소</t>
        </is>
      </c>
      <c r="F50" s="30" t="inlineStr">
        <is>
          <t>비로그인</t>
        </is>
      </c>
      <c r="G50" s="31" t="inlineStr">
        <is>
          <t>1. 로그인 → 카카오로 로그인
2. Mock 화면에서 취소</t>
        </is>
      </c>
      <c r="H50" s="31" t="inlineStr">
        <is>
          <t>login.html?error=OAUTH_CANCELLED로 이동, 로그인되지 않음</t>
        </is>
      </c>
      <c r="I50" s="31" t="inlineStr">
        <is>
          <t>login.html?error=OAUTH_CANCELLED, 로그인 안 됨 (TC-68 대조군)</t>
        </is>
      </c>
      <c r="J50" s="29" t="inlineStr">
        <is>
          <t>Pass</t>
        </is>
      </c>
      <c r="K50" s="28" t="inlineStr">
        <is>
          <t>2026-10-10</t>
        </is>
      </c>
      <c r="L50" s="28" t="n"/>
      <c r="M50" s="30" t="inlineStr">
        <is>
          <t>근거: 명세 콜백 실패 코드 OAUTH_CANCELLED
Playwright UI 자동화: tests/ui/auth.spec.ts</t>
        </is>
      </c>
      <c r="N50" s="28" t="inlineStr">
        <is>
          <t>Mid</t>
        </is>
      </c>
      <c r="O50" s="32" t="n"/>
      <c r="P50" s="28" t="inlineStr">
        <is>
          <t>1.1</t>
        </is>
      </c>
      <c r="Q50" s="28" t="n"/>
      <c r="R50" s="28" t="n"/>
    </row>
    <row r="51">
      <c r="A51" s="28" t="inlineStr">
        <is>
          <t>TC-50</t>
        </is>
      </c>
      <c r="B51" s="28" t="inlineStr">
        <is>
          <t>AI</t>
        </is>
      </c>
      <c r="C51" s="28" t="inlineStr">
        <is>
          <t>API</t>
        </is>
      </c>
      <c r="D51" s="29" t="inlineStr">
        <is>
          <t>예외</t>
        </is>
      </c>
      <c r="E51" s="30" t="inlineStr">
        <is>
          <t>OAuth state 불일치 (CSRF 방어)</t>
        </is>
      </c>
      <c r="F51" s="30" t="inlineStr">
        <is>
          <t>비로그인</t>
        </is>
      </c>
      <c r="G51" s="31" t="inlineStr">
        <is>
          <t>1. /api/auth/oauth/kakao/start로 state 발급
2. 콜백을 다른 state 값으로 호출</t>
        </is>
      </c>
      <c r="H51" s="31" t="inlineStr">
        <is>
          <t>login.html?error=INVALID_STATE, 로그인되지 않음</t>
        </is>
      </c>
      <c r="I51" s="31" t="inlineStr">
        <is>
          <t>login.html?error=INVALID_STATE, 로그인 안 됨</t>
        </is>
      </c>
      <c r="J51" s="29" t="inlineStr">
        <is>
          <t>Pass</t>
        </is>
      </c>
      <c r="K51" s="28" t="inlineStr">
        <is>
          <t>2026-10-10</t>
        </is>
      </c>
      <c r="L51" s="28" t="n"/>
      <c r="M51" s="30" t="inlineStr">
        <is>
          <t>근거: 명세 콜백 실패 코드 INVALID_STATE
Playwright API 자동화: tests/api/auth.spec.ts</t>
        </is>
      </c>
      <c r="N51" s="28" t="inlineStr">
        <is>
          <t>High</t>
        </is>
      </c>
      <c r="O51" s="32" t="n"/>
      <c r="P51" s="28" t="inlineStr">
        <is>
          <t>1.1</t>
        </is>
      </c>
      <c r="Q51" s="28" t="n"/>
      <c r="R51" s="28" t="n"/>
    </row>
    <row r="52">
      <c r="A52" s="28" t="inlineStr">
        <is>
          <t>TC-51</t>
        </is>
      </c>
      <c r="B52" s="28" t="inlineStr">
        <is>
          <t>AI</t>
        </is>
      </c>
      <c r="C52" s="28" t="inlineStr">
        <is>
          <t>API</t>
        </is>
      </c>
      <c r="D52" s="29" t="inlineStr">
        <is>
          <t>예외</t>
        </is>
      </c>
      <c r="E52" s="30" t="inlineStr">
        <is>
          <t>OAuth code 재사용 / 60초 경과</t>
        </is>
      </c>
      <c r="F52" s="30" t="inlineStr">
        <is>
          <t>비로그인</t>
        </is>
      </c>
      <c r="G52" s="31" t="inlineStr">
        <is>
          <t>① 정상 로그인에 사용한 code로 콜백 재호출
② code 발급 후 60초 지나서 콜백 호출</t>
        </is>
      </c>
      <c r="H52" s="31" t="inlineStr">
        <is>
          <t>①② login.html?error=INVALID_CODE, 세션 발급 안 됨</t>
        </is>
      </c>
      <c r="I52" s="31" t="inlineStr">
        <is>
          <t>① 사용한 code + 새 state: INVALID_CODE ② 61초 경과: INVALID_CODE. 둘 다 세션 없음</t>
        </is>
      </c>
      <c r="J52" s="29" t="inlineStr">
        <is>
          <t>Pass</t>
        </is>
      </c>
      <c r="K52" s="28" t="inlineStr">
        <is>
          <t>2026-10-10</t>
        </is>
      </c>
      <c r="L52" s="28" t="n"/>
      <c r="M52" s="30" t="inlineStr">
        <is>
          <t>근거: 명세 「code 교환(1회용, 60초)」, INVALID_CODE
재사용 확인은 새 흐름의 state + 예전 code로 해야 함 (콜백이 state 쿠키를 지워 같은 흐름으로는 INVALID_STATE가 먼저 남)
Playwright API 자동화: tests/api/auth.spec.ts</t>
        </is>
      </c>
      <c r="N52" s="28" t="inlineStr">
        <is>
          <t>High</t>
        </is>
      </c>
      <c r="O52" s="32" t="n"/>
      <c r="P52" s="28" t="inlineStr">
        <is>
          <t>1.1</t>
        </is>
      </c>
      <c r="Q52" s="28" t="n"/>
      <c r="R52" s="28" t="n"/>
    </row>
    <row r="53">
      <c r="A53" s="28" t="inlineStr">
        <is>
          <t>TC-52</t>
        </is>
      </c>
      <c r="B53" s="28" t="inlineStr">
        <is>
          <t>AI</t>
        </is>
      </c>
      <c r="C53" s="28" t="inlineStr">
        <is>
          <t>UI</t>
        </is>
      </c>
      <c r="D53" s="29" t="inlineStr">
        <is>
          <t>예외</t>
        </is>
      </c>
      <c r="E53" s="30" t="inlineStr">
        <is>
          <t>카카오 이메일 제공 동의 해제</t>
        </is>
      </c>
      <c r="F53" s="30" t="inlineStr">
        <is>
          <t>비로그인</t>
        </is>
      </c>
      <c r="G53" s="31" t="inlineStr">
        <is>
          <t>1. 로그인 → 카카오로 로그인
2. "[선택] 이메일 제공 동의" 해제 후 계정 선택</t>
        </is>
      </c>
      <c r="H53" s="31" t="inlineStr">
        <is>
          <t>login.html?error=EMAIL_CONSENT_REQUIRED, 가입·로그인되지 않음</t>
        </is>
      </c>
      <c r="I53" s="31" t="inlineStr">
        <is>
          <t>EMAIL_CONSENT_REQUIRED, 로그인·가입 안 됨. 이후 예약은 bookedAs=GUEST</t>
        </is>
      </c>
      <c r="J53" s="29" t="inlineStr">
        <is>
          <t>Pass</t>
        </is>
      </c>
      <c r="K53" s="28" t="inlineStr">
        <is>
          <t>2026-10-10</t>
        </is>
      </c>
      <c r="L53" s="28" t="n"/>
      <c r="M53" s="30" t="inlineStr">
        <is>
          <t>근거: 명세 콜백 실패 코드 EMAIL_CONSENT_REQUIRED (명세에서 추론) 가입되지 않음
탐색 테스트 관점 합침: "미동의로 로그인 시도 후 예약" → 로그인 차단 후에는 비회원 예약만 가능해야 함 (bookedAs=GUEST). 실행 시 함께 확인
합친 탐색 관점(미동의 후 예약)까지 확인
Playwright UI 자동화: tests/ui/auth.spec.ts</t>
        </is>
      </c>
      <c r="N53" s="28" t="inlineStr">
        <is>
          <t>High</t>
        </is>
      </c>
      <c r="O53" s="32" t="n"/>
      <c r="P53" s="28" t="inlineStr">
        <is>
          <t>1.1</t>
        </is>
      </c>
      <c r="Q53" s="28" t="n"/>
      <c r="R53" s="28" t="n"/>
    </row>
    <row r="54">
      <c r="A54" s="28" t="inlineStr">
        <is>
          <t>TC-53</t>
        </is>
      </c>
      <c r="B54" s="28" t="inlineStr">
        <is>
          <t>AI</t>
        </is>
      </c>
      <c r="C54" s="28" t="inlineStr">
        <is>
          <t>UI</t>
        </is>
      </c>
      <c r="D54" s="29" t="inlineStr">
        <is>
          <t>예외</t>
        </is>
      </c>
      <c r="E54" s="30" t="inlineStr">
        <is>
          <t>이메일로 가입한 주소로 구글 로그인</t>
        </is>
      </c>
      <c r="F54" s="30" t="inlineStr">
        <is>
          <t>같은 이메일로 이메일 회원가입 완료</t>
        </is>
      </c>
      <c r="G54" s="31" t="inlineStr">
        <is>
          <t>1. 로그아웃
2. 로그인 → 구글로 로그인 → "다른 테스트 계정"에 같은 이메일 입력</t>
        </is>
      </c>
      <c r="H54" s="31" t="inlineStr">
        <is>
          <t>login.html?error=ACCOUNT_EXISTS&amp;provider=EMAIL, 새 계정 생성 안 됨</t>
        </is>
      </c>
      <c r="I54" s="31" t="inlineStr">
        <is>
          <t>login.html?error=ACCOUNT_EXISTS&amp;provider=EMAIL, 새 계정 생성 안 됨</t>
        </is>
      </c>
      <c r="J54" s="29" t="inlineStr">
        <is>
          <t>Pass</t>
        </is>
      </c>
      <c r="K54" s="28" t="inlineStr">
        <is>
          <t>2026-10-10</t>
        </is>
      </c>
      <c r="L54" s="28" t="n"/>
      <c r="M54" s="30" t="inlineStr">
        <is>
          <t>근거: 명세 「ACCOUNT_EXISTS: 같은 이메일이 다른 방법으로 이미 가입됨」 (명세에서 추론) 새 계정 생성 안 됨
탐색 테스트에서도 같은 관점(이메일 가입 후 같은 이메일로 구글 로그인 시 차단/통합/중복 생성) 확인 → 이 TC로 합침
Playwright UI 자동화: tests/ui/auth.spec.ts</t>
        </is>
      </c>
      <c r="N54" s="28" t="inlineStr">
        <is>
          <t>High</t>
        </is>
      </c>
      <c r="O54" s="32" t="n"/>
      <c r="P54" s="28" t="inlineStr">
        <is>
          <t>1.1</t>
        </is>
      </c>
      <c r="Q54" s="28" t="n"/>
      <c r="R54" s="28" t="n"/>
    </row>
    <row r="55">
      <c r="A55" s="28" t="inlineStr">
        <is>
          <t>TC-54</t>
        </is>
      </c>
      <c r="B55" s="28" t="inlineStr">
        <is>
          <t>AI</t>
        </is>
      </c>
      <c r="C55" s="28" t="inlineStr">
        <is>
          <t>UI</t>
        </is>
      </c>
      <c r="D55" s="29" t="inlineStr">
        <is>
          <t>정상</t>
        </is>
      </c>
      <c r="E55" s="30" t="inlineStr">
        <is>
          <t>로그인 상태로 예약 (회원 예약)</t>
        </is>
      </c>
      <c r="F55" s="30" t="inlineStr">
        <is>
          <t>test 계정 로그인</t>
        </is>
      </c>
      <c r="G55" s="31" t="inlineStr">
        <is>
          <t>1. 서울 / 오늘+30~32일 / 2명 검색 → 객실 선택
2. 예약 정보 입력 화면 확인 후 예약 확정</t>
        </is>
      </c>
      <c r="H55" s="31" t="inlineStr">
        <is>
          <t>이름·이메일·전화번호 자동 입력, 이메일은 수정 불가(계정 이메일 고정). 응답 bookedAs=MEMBER, DB reservations.user_id=test 계정 id</t>
        </is>
      </c>
      <c r="I55" s="31" t="inlineStr">
        <is>
          <t>이름·이메일·전화번호 자동 입력, 이메일 수정 불가, bookedAs=MEMBER, DB user_id 연결</t>
        </is>
      </c>
      <c r="J55" s="29" t="inlineStr">
        <is>
          <t>Pass</t>
        </is>
      </c>
      <c r="K55" s="28" t="inlineStr">
        <is>
          <t>2026-10-10</t>
        </is>
      </c>
      <c r="L55" s="28" t="n"/>
      <c r="M55" s="30" t="inlineStr">
        <is>
          <t>근거: 명세 「회원으로 예약하면 자동 입력, 이메일은 계정 이메일로 고정」, bookedAs, user_id
Playwright UI 자동화: tests/ui/auth.spec.ts</t>
        </is>
      </c>
      <c r="N55" s="28" t="inlineStr">
        <is>
          <t>High</t>
        </is>
      </c>
      <c r="O55" s="32" t="n"/>
      <c r="P55" s="28" t="inlineStr">
        <is>
          <t>1.1</t>
        </is>
      </c>
      <c r="Q55" s="28" t="n"/>
      <c r="R55" s="28" t="n"/>
    </row>
    <row r="56">
      <c r="A56" s="28" t="inlineStr">
        <is>
          <t>TC-55</t>
        </is>
      </c>
      <c r="B56" s="28" t="inlineStr">
        <is>
          <t>AI</t>
        </is>
      </c>
      <c r="C56" s="28" t="inlineStr">
        <is>
          <t>API</t>
        </is>
      </c>
      <c r="D56" s="29" t="inlineStr">
        <is>
          <t>정상</t>
        </is>
      </c>
      <c r="E56" s="30" t="inlineStr">
        <is>
          <t>회원 예약 목록</t>
        </is>
      </c>
      <c r="F56" s="30" t="inlineStr">
        <is>
          <t>test 계정으로 예약 2건(1건 취소), 비로그인으로 같은 이메일 비회원 예약 1건</t>
        </is>
      </c>
      <c r="G56" s="31" t="inlineStr">
        <is>
          <t>test 계정으로 GET /api/me/reservations</t>
        </is>
      </c>
      <c r="H56" s="31" t="inlineStr">
        <is>
          <t>회원 예약 2건만 최신순, 취소 건 포함. 같은 이메일의 비회원 예약은 미포함</t>
        </is>
      </c>
      <c r="I56" s="31" t="inlineStr">
        <is>
          <t>회원 예약 2건만 최신순(취소 포함), 같은 이메일 비회원 예약 미포함</t>
        </is>
      </c>
      <c r="J56" s="29" t="inlineStr">
        <is>
          <t>Pass</t>
        </is>
      </c>
      <c r="K56" s="28" t="inlineStr">
        <is>
          <t>2026-10-10</t>
        </is>
      </c>
      <c r="L56" s="28" t="n"/>
      <c r="M56" s="30" t="inlineStr">
        <is>
          <t>근거: 명세 「최신순, 취소 포함」, 「비회원으로 한 예약은 같은 이메일이어도 포함되지 않음」
Playwright API 자동화: tests/api/auth.spec.ts</t>
        </is>
      </c>
      <c r="N56" s="28" t="inlineStr">
        <is>
          <t>High</t>
        </is>
      </c>
      <c r="O56" s="32" t="n"/>
      <c r="P56" s="28" t="inlineStr">
        <is>
          <t>1.1</t>
        </is>
      </c>
      <c r="Q56" s="28" t="n"/>
      <c r="R56" s="28" t="n"/>
    </row>
    <row r="57">
      <c r="A57" s="28" t="inlineStr">
        <is>
          <t>TC-56</t>
        </is>
      </c>
      <c r="B57" s="28" t="inlineStr">
        <is>
          <t>AI</t>
        </is>
      </c>
      <c r="C57" s="28" t="inlineStr">
        <is>
          <t>API</t>
        </is>
      </c>
      <c r="D57" s="29" t="inlineStr">
        <is>
          <t>정상</t>
        </is>
      </c>
      <c r="E57" s="30" t="inlineStr">
        <is>
          <t>본인 회원 예약을 이메일 없이 조회·취소</t>
        </is>
      </c>
      <c r="F57" s="30" t="inlineStr">
        <is>
          <t>test 계정 로그인, 회원 예약 1건 (체크인 오늘+30일)</t>
        </is>
      </c>
      <c r="G57" s="31" t="inlineStr">
        <is>
          <t>① GET /api/reservations/{id} (email 없음)
② POST /api/reservations/{id}/cancel 본문 {}</t>
        </is>
      </c>
      <c r="H57" s="31" t="inlineStr">
        <is>
          <t>① 200 예약 상세 ② 200 status=CANCELLED</t>
        </is>
      </c>
      <c r="I57" s="31" t="inlineStr">
        <is>
          <t>이메일 없이 조회 200, 취소 200 CANCELLED</t>
        </is>
      </c>
      <c r="J57" s="29" t="inlineStr">
        <is>
          <t>Pass</t>
        </is>
      </c>
      <c r="K57" s="28" t="inlineStr">
        <is>
          <t>2026-10-10</t>
        </is>
      </c>
      <c r="L57" s="28" t="n"/>
      <c r="M57" s="30" t="inlineStr">
        <is>
          <t>근거: 명세 「본인 회원 예약: 로그인 상태면 email 없이 조회 가능」, 「{}로 취소 가능」
Playwright API 자동화: tests/api/auth.spec.ts</t>
        </is>
      </c>
      <c r="N57" s="28" t="inlineStr">
        <is>
          <t>Mid</t>
        </is>
      </c>
      <c r="O57" s="32" t="n"/>
      <c r="P57" s="28" t="inlineStr">
        <is>
          <t>1.1</t>
        </is>
      </c>
      <c r="Q57" s="28" t="n"/>
      <c r="R57" s="28" t="n"/>
    </row>
    <row r="58">
      <c r="A58" s="28" t="inlineStr">
        <is>
          <t>TC-57</t>
        </is>
      </c>
      <c r="B58" s="28" t="inlineStr">
        <is>
          <t>AI</t>
        </is>
      </c>
      <c r="C58" s="28" t="inlineStr">
        <is>
          <t>API</t>
        </is>
      </c>
      <c r="D58" s="29" t="inlineStr">
        <is>
          <t>예외</t>
        </is>
      </c>
      <c r="E58" s="30" t="inlineStr">
        <is>
          <t>로그인 상태에서 다른 회원 예약 조회</t>
        </is>
      </c>
      <c r="F58" s="30" t="inlineStr">
        <is>
          <t>test 계정의 회원 예약 1건, test2 계정 로그인</t>
        </is>
      </c>
      <c r="G58" s="31" t="inlineStr">
        <is>
          <t>test2로 ① email 없이 조회 ② 다른 이메일로 조회</t>
        </is>
      </c>
      <c r="H58" s="31" t="inlineStr">
        <is>
          <t>① 400 VALIDATION_ERROR ② 404 NOT_FOUND. 두 경우 모두 응답에 예약 정보 없음</t>
        </is>
      </c>
      <c r="I58" s="31" t="inlineStr">
        <is>
          <t>이메일 없이 400, 다른 이메일 404, 예약 정보 미노출</t>
        </is>
      </c>
      <c r="J58" s="29" t="inlineStr">
        <is>
          <t>Pass</t>
        </is>
      </c>
      <c r="K58" s="28" t="inlineStr">
        <is>
          <t>2026-10-10</t>
        </is>
      </c>
      <c r="L58" s="28" t="n"/>
      <c r="M58" s="30" t="inlineStr">
        <is>
          <t>근거: 명세 「다른 회원의 예약: 예약번호+이메일 일치해야 조회」, 「400(email 누락), 404(이메일 불일치)」 (명세에서 추론) 예약 정보 미노출
탐색 테스트에서도 같은 관점(로그인 상태에서 다른 회원 예약번호 조회) 확인 → 이 TC로 합침
Playwright API 자동화: tests/api/auth.spec.ts</t>
        </is>
      </c>
      <c r="N58" s="28" t="inlineStr">
        <is>
          <t>High</t>
        </is>
      </c>
      <c r="O58" s="32" t="n"/>
      <c r="P58" s="28" t="inlineStr">
        <is>
          <t>1.1</t>
        </is>
      </c>
      <c r="Q58" s="28" t="n"/>
      <c r="R58" s="28" t="n"/>
    </row>
    <row r="59">
      <c r="A59" s="28" t="inlineStr">
        <is>
          <t>TC-58</t>
        </is>
      </c>
      <c r="B59" s="28" t="inlineStr">
        <is>
          <t>AI</t>
        </is>
      </c>
      <c r="C59" s="28" t="inlineStr">
        <is>
          <t>UI·API</t>
        </is>
      </c>
      <c r="D59" s="29" t="inlineStr">
        <is>
          <t>예외</t>
        </is>
      </c>
      <c r="E59" s="30" t="inlineStr">
        <is>
          <t>회원 전용 모드에서 비로그인 예약</t>
        </is>
      </c>
      <c r="F59" s="30" t="inlineStr">
        <is>
          <t>GUEST_CHECKOUT=off로 서버 실행, 비로그인</t>
        </is>
      </c>
      <c r="G59" s="31" t="inlineStr">
        <is>
          <t>① 예약 정보 입력 화면 진입
② POST /api/reservations (유효한 본문)</t>
        </is>
      </c>
      <c r="H59" s="31" t="inlineStr">
        <is>
          <t>① 예약 폼 대신 "로그인하고 예약하기" 안내 ② 401 LOGIN_REQUIRED, 예약 생성 안 됨</t>
        </is>
      </c>
      <c r="I59" s="31" t="inlineStr">
        <is>
          <t>예약 화면에 "로그인하고 예약하기", API 401 LOGIN_REQUIRED, 예약 생성 안 됨</t>
        </is>
      </c>
      <c r="J59" s="29" t="inlineStr">
        <is>
          <t>Pass</t>
        </is>
      </c>
      <c r="K59" s="28" t="inlineStr">
        <is>
          <t>2026-10-10</t>
        </is>
      </c>
      <c r="L59" s="28" t="n"/>
      <c r="M59" s="30" t="inlineStr">
        <is>
          <t>근거: 명세 「GUEST_CHECKOUT=off면 401 LOGIN_REQUIRED」, 「로그인하고 예약하기 안내」
Playwright 자동화: tests/guest-off/guest-off.spec.ts (회원 전용 서버)</t>
        </is>
      </c>
      <c r="N59" s="28" t="inlineStr">
        <is>
          <t>High</t>
        </is>
      </c>
      <c r="O59" s="32" t="n"/>
      <c r="P59" s="28" t="inlineStr">
        <is>
          <t>1.1</t>
        </is>
      </c>
      <c r="Q59" s="28" t="n"/>
      <c r="R59" s="28" t="n"/>
    </row>
    <row r="60">
      <c r="A60" s="28" t="inlineStr">
        <is>
          <t>TC-59</t>
        </is>
      </c>
      <c r="B60" s="28" t="inlineStr">
        <is>
          <t>AI</t>
        </is>
      </c>
      <c r="C60" s="28" t="inlineStr">
        <is>
          <t>UI</t>
        </is>
      </c>
      <c r="D60" s="29" t="inlineStr">
        <is>
          <t>예외</t>
        </is>
      </c>
      <c r="E60" s="30" t="inlineStr">
        <is>
          <t>오픈 리다이렉트 방지</t>
        </is>
      </c>
      <c r="F60" s="30" t="inlineStr">
        <is>
          <t>비로그인</t>
        </is>
      </c>
      <c r="G60" s="31" t="inlineStr">
        <is>
          <t>login.html?returnTo=//evil.com 에서 로그인</t>
        </is>
      </c>
      <c r="H60" s="31" t="inlineStr">
        <is>
          <t>로그인 후 /index.html로 이동 (외부 사이트로 이동하지 않음)</t>
        </is>
      </c>
      <c r="I60" s="31" t="inlineStr">
        <is>
          <t>로그인 후 /index.html로 이동</t>
        </is>
      </c>
      <c r="J60" s="29" t="inlineStr">
        <is>
          <t>Pass</t>
        </is>
      </c>
      <c r="K60" s="28" t="inlineStr">
        <is>
          <t>2026-10-10</t>
        </is>
      </c>
      <c r="L60" s="28" t="n"/>
      <c r="M60" s="30" t="inlineStr">
        <is>
          <t>근거: 명세 「//evil.com 같은 값은 /index.html로 바뀝니다」
Playwright UI 자동화: tests/ui/auth.spec.ts</t>
        </is>
      </c>
      <c r="N60" s="28" t="inlineStr">
        <is>
          <t>Mid</t>
        </is>
      </c>
      <c r="O60" s="32" t="n"/>
      <c r="P60" s="28" t="inlineStr">
        <is>
          <t>1.1</t>
        </is>
      </c>
      <c r="Q60" s="28" t="n"/>
      <c r="R60" s="28" t="n"/>
    </row>
    <row r="61">
      <c r="A61" s="28" t="inlineStr">
        <is>
          <t>TC-60</t>
        </is>
      </c>
      <c r="B61" s="28" t="inlineStr">
        <is>
          <t>AI수정</t>
        </is>
      </c>
      <c r="C61" s="28" t="inlineStr">
        <is>
          <t>로그</t>
        </is>
      </c>
      <c r="D61" s="29" t="inlineStr">
        <is>
          <t>정상</t>
        </is>
      </c>
      <c r="E61" s="30" t="inlineStr">
        <is>
          <t>로그 마스킹 (비밀번호·토큰·개인정보)</t>
        </is>
      </c>
      <c r="F61" s="30" t="inlineStr">
        <is>
          <t>초기화</t>
        </is>
      </c>
      <c r="G61" s="31" t="inlineStr">
        <is>
          <t>1. 이메일 로그인, 카카오 로그인, 회원 예약 수행
2. logs/app.log 확인</t>
        </is>
      </c>
      <c r="H61" s="31" t="inlineStr">
        <is>
          <t>password·passwordConfirm·token·code·state 값이 *** 로 기록. 이름·이메일·전화번호도 마스킹되어 기록</t>
        </is>
      </c>
      <c r="I61" s="31" t="inlineStr">
        <is>
          <t>password·code·state ***로 마스킹, 원문(비밀번호·토큰·code·state) 미기록 → Pass / 이름·이메일·전화번호 평문 기록 → #3 재현</t>
        </is>
      </c>
      <c r="J61" s="29" t="inlineStr">
        <is>
          <t>Fail</t>
        </is>
      </c>
      <c r="K61" s="28" t="inlineStr">
        <is>
          <t>2026-10-10</t>
        </is>
      </c>
      <c r="L61" s="28" t="inlineStr">
        <is>
          <t>#3</t>
        </is>
      </c>
      <c r="M61" s="30" t="inlineStr">
        <is>
          <t>근거: 명세 「password, passwordConfirm, token, code, state 값은 ***로 마스킹」
QA 수정: #3(로그 개인정보) 회귀 확인을 위해 이름·이메일·전화번호 마스킹 확인 추가. 이 부분은 1.1 명세에 없고 #3의 기대결과 기준
자동화를 두 테스트로 분리: 비밀번호·토큰 마스킹(Pass) / 개인정보 마스킹(#3, test.fail)
Playwright API 자동화: tests/api/auth.spec.ts</t>
        </is>
      </c>
      <c r="N61" s="28" t="inlineStr">
        <is>
          <t>Mid</t>
        </is>
      </c>
      <c r="O61" s="32" t="inlineStr">
        <is>
          <t>[기대결과 원문] 로그의 password, token, code, state 값이 ***</t>
        </is>
      </c>
      <c r="P61" s="28" t="inlineStr">
        <is>
          <t>1.1</t>
        </is>
      </c>
      <c r="Q61" s="28" t="n"/>
      <c r="R61" s="28" t="n"/>
    </row>
    <row r="62">
      <c r="A62" s="28" t="inlineStr">
        <is>
          <t>TC-61</t>
        </is>
      </c>
      <c r="B62" s="28" t="inlineStr">
        <is>
          <t>AI</t>
        </is>
      </c>
      <c r="C62" s="28" t="inlineStr">
        <is>
          <t>API</t>
        </is>
      </c>
      <c r="D62" s="29" t="inlineStr">
        <is>
          <t>예외</t>
        </is>
      </c>
      <c r="E62" s="30" t="inlineStr">
        <is>
          <t>Mock OAuth redirect_uri 변조</t>
        </is>
      </c>
      <c r="F62" s="30" t="inlineStr">
        <is>
          <t>비로그인</t>
        </is>
      </c>
      <c r="G62" s="31" t="inlineStr">
        <is>
          <t>GET /mock-oauth/kakao/authorize 를 다른 호스트의 redirect_uri로 요청</t>
        </is>
      </c>
      <c r="H62" s="31" t="inlineStr">
        <is>
          <t>400, code 발급 안 됨</t>
        </is>
      </c>
      <c r="I62" s="31" t="inlineStr">
        <is>
          <t>계정 선택 화면 400, 계정 선택 POST 400·리다이렉트 없음 (code 발급 안 됨)</t>
        </is>
      </c>
      <c r="J62" s="29" t="inlineStr">
        <is>
          <t>Pass</t>
        </is>
      </c>
      <c r="K62" s="28" t="inlineStr">
        <is>
          <t>2026-10-10</t>
        </is>
      </c>
      <c r="L62" s="28" t="n"/>
      <c r="M62" s="30" t="inlineStr">
        <is>
          <t>근거: 명세 「redirect_uri(같은 호스트의 해당 provider 콜백 경로만 허용) 검증, 틀리면 400」 (명세에서 추론) code 발급 안 됨
Playwright API 자동화: tests/api/auth.spec.ts</t>
        </is>
      </c>
      <c r="N62" s="28" t="inlineStr">
        <is>
          <t>Mid</t>
        </is>
      </c>
      <c r="O62" s="32" t="n"/>
      <c r="P62" s="28" t="inlineStr">
        <is>
          <t>1.1</t>
        </is>
      </c>
      <c r="Q62" s="28" t="n"/>
      <c r="R62" s="28" t="n"/>
    </row>
    <row r="63">
      <c r="A63" s="28" t="inlineStr">
        <is>
          <t>TC-62</t>
        </is>
      </c>
      <c r="B63" s="28" t="inlineStr">
        <is>
          <t>QA추가</t>
        </is>
      </c>
      <c r="C63" s="28" t="inlineStr">
        <is>
          <t>API</t>
        </is>
      </c>
      <c r="D63" s="29" t="inlineStr">
        <is>
          <t>예외</t>
        </is>
      </c>
      <c r="E63" s="30" t="inlineStr">
        <is>
          <t>회원 예약을 비로그인 상태에서 예약번호+이메일로 조회·취소</t>
        </is>
      </c>
      <c r="F63" s="30" t="inlineStr">
        <is>
          <t>test 계정의 회원 예약 1건, 비로그인</t>
        </is>
      </c>
      <c r="G63" s="31" t="inlineStr">
        <is>
          <t>1. 내 예약 조회에서 예약번호 + test@minihotel.test 입력
2. 예약 취소</t>
        </is>
      </c>
      <c r="H63" s="31" t="inlineStr">
        <is>
          <t>정책 확인 필요: 회원 예약을 로그인 없이 조회·취소할 수 있어야 하는지</t>
        </is>
      </c>
      <c r="I63" s="31" t="inlineStr">
        <is>
          <t>비로그인 상태에서 예약번호+이메일로 조회·취소 모두 됨</t>
        </is>
      </c>
      <c r="J63" s="29" t="inlineStr">
        <is>
          <t>확인필요</t>
        </is>
      </c>
      <c r="K63" s="28" t="inlineStr">
        <is>
          <t>2026-10-10</t>
        </is>
      </c>
      <c r="L63" s="28" t="n"/>
      <c r="M63" s="30" t="inlineStr">
        <is>
          <t>탐색 테스트. 명세상 "본인 회원 예약이 아닌 경우 예약번호+이메일로 조회"라 허용되는 동작이지만, 회원 예약도 이메일만으로 취소되는 것이 의도인지 정책 확인 요청
관련: 완료 화면 문구가 회원·비회원 구분 없이 예약번호+이메일 조회·취소를 안내함
[QA 정책 제안 2026-10-13, 확정 B] 조회는 예약번호+이메일로 허용, 취소는 로그인 필요. 선택지: A 현행 유지(조회·취소 허용) / B 조회만 허용 / C 조회·취소 모두 로그인. 이유: 되돌릴 수 없는 취소는 본인 확인 필요, 예약번호·이메일은 화면 캐시(#12)·메일로 노출되기 쉬움</t>
        </is>
      </c>
      <c r="N63" s="28" t="inlineStr">
        <is>
          <t>High</t>
        </is>
      </c>
      <c r="O63" s="32" t="n"/>
      <c r="P63" s="28" t="inlineStr">
        <is>
          <t>1.1</t>
        </is>
      </c>
      <c r="Q63" s="28" t="n"/>
      <c r="R63" s="28" t="n"/>
    </row>
    <row r="64">
      <c r="A64" s="28" t="inlineStr">
        <is>
          <t>TC-63</t>
        </is>
      </c>
      <c r="B64" s="28" t="inlineStr">
        <is>
          <t>QA추가</t>
        </is>
      </c>
      <c r="C64" s="28" t="inlineStr">
        <is>
          <t>UI</t>
        </is>
      </c>
      <c r="D64" s="29" t="inlineStr">
        <is>
          <t>예외</t>
        </is>
      </c>
      <c r="E64" s="30" t="inlineStr">
        <is>
          <t>구글로 가입한 이메일로 이메일 회원가입</t>
        </is>
      </c>
      <c r="F64" s="30" t="inlineStr">
        <is>
          <t>같은 이메일로 구글 가입 완료, 로그아웃</t>
        </is>
      </c>
      <c r="G64" s="31" t="inlineStr">
        <is>
          <t>회원가입 화면에서 같은 이메일로 가입 시도</t>
        </is>
      </c>
      <c r="H64" s="31" t="inlineStr">
        <is>
          <t>중복 가입 차단 (409 EMAIL_TAKEN). 노출 메시지는 정책 확인 필요</t>
        </is>
      </c>
      <c r="I64" s="31" t="inlineStr">
        <is>
          <t>중복 가입은 차단됨. 메시지 "이미 구글 계정으로 가입된 이메일입니다" 노출</t>
        </is>
      </c>
      <c r="J64" s="29" t="inlineStr">
        <is>
          <t>확인필요</t>
        </is>
      </c>
      <c r="K64" s="28" t="inlineStr">
        <is>
          <t>2026-10-10</t>
        </is>
      </c>
      <c r="L64" s="28" t="n"/>
      <c r="M64" s="30" t="inlineStr">
        <is>
          <t>탐색 테스트. 메시지에 가입 경로(구글)가 노출되어 이메일만으로 가입 여부·가입 방법을 알 수 있음. 로그인 실패 메시지는 구분하지 않는 정책(TC-43)과 일관성 확인 필요
[QA 정책 제안 2026-10-13, 확정 B] "이미 가입된 이메일입니다"만 표시하고 로그인 화면으로 안내 (가입 경로 숨김). 선택지: A 현행 유지(가입 경로 표시) / B 경로 숨김 / C 가입 여부도 숨김(이메일 인증 필요). 이유: 가입 경로 노출을 줄이면서 다음 행동은 안내, 로그인 실패 메시지 정책(TC-43)과 일관. 소셜 콜백 ACCOUNT_EXISTS의 provider 전달(명세 135행)도 함께 맞출 것</t>
        </is>
      </c>
      <c r="N64" s="28" t="inlineStr">
        <is>
          <t>Mid</t>
        </is>
      </c>
      <c r="O64" s="32" t="n"/>
      <c r="P64" s="28" t="inlineStr">
        <is>
          <t>1.1</t>
        </is>
      </c>
      <c r="Q64" s="28" t="n"/>
      <c r="R64" s="28" t="n"/>
    </row>
    <row r="65">
      <c r="A65" s="28" t="inlineStr">
        <is>
          <t>TC-64</t>
        </is>
      </c>
      <c r="B65" s="28" t="inlineStr">
        <is>
          <t>QA추가</t>
        </is>
      </c>
      <c r="C65" s="28" t="inlineStr">
        <is>
          <t>UI</t>
        </is>
      </c>
      <c r="D65" s="29" t="inlineStr">
        <is>
          <t>예외</t>
        </is>
      </c>
      <c r="E65" s="30" t="inlineStr">
        <is>
          <t>예약 입력 중 세션 만료 후 제출</t>
        </is>
      </c>
      <c r="F65" s="30" t="inlineStr">
        <is>
          <t>SESSION_TTL_MINUTES=1, test 계정 로그인 후 예약 정보 입력 화면 진입</t>
        </is>
      </c>
      <c r="G65" s="31" t="inlineStr">
        <is>
          <t>1. 예약 정보 입력 화면에서 1분 이상 대기
2. 예약 확정</t>
        </is>
      </c>
      <c r="H65" s="31" t="inlineStr">
        <is>
          <t>세션 만료를 알리고 재로그인을 유도하거나 회원 예약으로 처리. 사용자에게 알리지 않고 비회원 예약(bookedAs=GUEST)으로 저장되지 않음</t>
        </is>
      </c>
      <c r="I65" s="31" t="inlineStr">
        <is>
          <t>화면은 회원 예약 상태였으나 만료 후 제출 시 안내 없이 201, bookedAs=GUEST로 저장 → 회원 예약 목록에 안 나옴
[실제 Chrome 수동, 2026-10-11] 안내 없이 "예약이 완료되었습니다"(RSV-3FCED205), 헤더가 로그인 버튼으로 바뀜, 로그 user=-, DB user_id=null. 같은 계정 재로그인 후 회원 예약 내역에 "아직 회원으로 예약한 내역이 없어요"(count=0)</t>
        </is>
      </c>
      <c r="J65" s="29" t="inlineStr">
        <is>
          <t>Fail</t>
        </is>
      </c>
      <c r="K65" s="28" t="inlineStr">
        <is>
          <t>2026-10-11</t>
        </is>
      </c>
      <c r="L65" s="28" t="inlineStr">
        <is>
          <t>#8</t>
        </is>
      </c>
      <c r="M65" s="30" t="inlineStr">
        <is>
          <t>회원 예약 흐름 중 상태 변화. 명세에 만료 중 제출 동작 정의 없음
결함 #8 등록 (needs-spec, 기대 동작은 "만료 안내 후 재로그인 유도"를 제안). test.fail로 표시
Playwright UI 자동화: tests/short-session/short-session.spec.ts (세션 1분 서버)
2026-10-11 실제 Chrome 수동 재현 완료 (RSV-3FCED205). 이슈 #8에 재현 코멘트 추가
정정(2026-10-13): 완료 화면의 "예약번호와 이메일로 예약을 조회하거나 취소할 수 있어요" 문구는 회원 예약에서도 항상 표시되는 고정 문구라 비회원 예약 근거에서 제외</t>
        </is>
      </c>
      <c r="N65" s="28" t="inlineStr">
        <is>
          <t>High</t>
        </is>
      </c>
      <c r="O65" s="32" t="n"/>
      <c r="P65" s="28" t="inlineStr">
        <is>
          <t>1.1</t>
        </is>
      </c>
      <c r="Q65" s="28" t="n"/>
      <c r="R65" s="28" t="n"/>
    </row>
    <row r="66">
      <c r="A66" s="28" t="inlineStr">
        <is>
          <t>TC-65</t>
        </is>
      </c>
      <c r="B66" s="28" t="inlineStr">
        <is>
          <t>QA추가</t>
        </is>
      </c>
      <c r="C66" s="28" t="inlineStr">
        <is>
          <t>API</t>
        </is>
      </c>
      <c r="D66" s="29" t="inlineStr">
        <is>
          <t>예외</t>
        </is>
      </c>
      <c r="E66" s="30" t="inlineStr">
        <is>
          <t>로그인 상태에서 다른 이메일로 예약 (UI 우회)</t>
        </is>
      </c>
      <c r="F66" s="30" t="inlineStr">
        <is>
          <t>test 계정 로그인 (token 보관)</t>
        </is>
      </c>
      <c r="G66" s="31" t="inlineStr">
        <is>
          <t>Bearer token과 함께 POST /api/reservations, email=other@test.com</t>
        </is>
      </c>
      <c r="H66" s="31" t="inlineStr">
        <is>
          <t>서버가 계정 이메일(test@minihotel.test)로 저장하거나 400으로 거부. 다른 이메일로 회원 예약이 저장되지 않음</t>
        </is>
      </c>
      <c r="I66" s="31" t="inlineStr">
        <is>
          <t>201, bookedAs=MEMBER, 요청한 다른 이메일로 저장됨. 그 이메일로 비로그인 조회·취소도 됨</t>
        </is>
      </c>
      <c r="J66" s="29" t="inlineStr">
        <is>
          <t>Fail</t>
        </is>
      </c>
      <c r="K66" s="28" t="inlineStr">
        <is>
          <t>2026-10-10</t>
        </is>
      </c>
      <c r="L66" s="28" t="inlineStr">
        <is>
          <t>#7</t>
        </is>
      </c>
      <c r="M66" s="30" t="inlineStr">
        <is>
          <t>명세의 "이메일은 계정 이메일로 고정"은 화면 기준. 서버도 고정하는지 UI 우회로 확인 (TC-32와 같은 접근)
결함 #7 등록 (UI 우회, #2와 같은 유형). test.fail로 표시
Playwright API 자동화: tests/api/auth.spec.ts</t>
        </is>
      </c>
      <c r="N66" s="28" t="inlineStr">
        <is>
          <t>High</t>
        </is>
      </c>
      <c r="O66" s="32" t="n"/>
      <c r="P66" s="28" t="inlineStr">
        <is>
          <t>1.1</t>
        </is>
      </c>
      <c r="Q66" s="28" t="n"/>
      <c r="R66" s="28" t="n"/>
    </row>
    <row r="67">
      <c r="A67" s="28" t="inlineStr">
        <is>
          <t>TC-66</t>
        </is>
      </c>
      <c r="B67" s="28" t="inlineStr">
        <is>
          <t>QA추가</t>
        </is>
      </c>
      <c r="C67" s="28" t="inlineStr">
        <is>
          <t>UI</t>
        </is>
      </c>
      <c r="D67" s="29" t="inlineStr">
        <is>
          <t>예외</t>
        </is>
      </c>
      <c r="E67" s="30" t="inlineStr">
        <is>
          <t>로그아웃 후 뒤로 가기</t>
        </is>
      </c>
      <c r="F67" s="30" t="inlineStr">
        <is>
          <t>test 계정 로그인, 내 예약 화면에서 회원 예약 목록 표시</t>
        </is>
      </c>
      <c r="G67" s="31" t="inlineStr">
        <is>
          <t>1. 로그아웃
2. 브라우저 뒤로 가기</t>
        </is>
      </c>
      <c r="H67" s="31" t="inlineStr">
        <is>
          <t>회원 정보·회원 예약 목록이 보이지 않거나, 보이더라도 새로고침·조작 시 비로그인 상태로 처리</t>
        </is>
      </c>
      <c r="I67" s="31" t="inlineStr">
        <is>
          <t>자동화(테스트용 Chromium): 뒤로 가기 직후 회원 예약 목록 안 보임
[실제 Chrome 수동, 2026-10-11] 로그아웃(10:39:40) 후 뒤로 가기: 브라우저 캐시로 이름·이메일·전화번호·예약·금액이 그대로 보임(서버 요청 없음). 그 화면에서 예약 취소 → POST /cancel user=- 400 VALIDATION_ERROR "email은 필수입니다"(서버 정상 차단). 새로고침 → 비로그인 화면</t>
        </is>
      </c>
      <c r="J67" s="29" t="inlineStr">
        <is>
          <t>Pass</t>
        </is>
      </c>
      <c r="K67" s="28" t="inlineStr">
        <is>
          <t>2026-10-11</t>
        </is>
      </c>
      <c r="L67" s="28" t="inlineStr">
        <is>
          <t>#12</t>
        </is>
      </c>
      <c r="M67" s="30" t="inlineStr">
        <is>
          <t>공용 PC 시나리오. #6(뒤로 가기 시 화면 상태)와 같은 계열
Playwright UI 자동화: tests/ui/auth.spec.ts
2026-10-11 실제 Chrome 수동 확인: 기대결과("보이더라도 조작·새로고침 시 비로그인 처리") 충족 → Pass. 캐시 화면의 개인정보 노출, 만료를 알리지 않는 취소 실패 문구는 개선 제안 #12로 등록 (#6과 같은 계열)</t>
        </is>
      </c>
      <c r="N67" s="28" t="inlineStr">
        <is>
          <t>Mid</t>
        </is>
      </c>
      <c r="O67" s="32" t="n"/>
      <c r="P67" s="28" t="inlineStr">
        <is>
          <t>1.1</t>
        </is>
      </c>
      <c r="Q67" s="28" t="n"/>
      <c r="R67" s="28" t="n"/>
    </row>
    <row r="68">
      <c r="A68" s="28" t="inlineStr">
        <is>
          <t>TC-67</t>
        </is>
      </c>
      <c r="B68" s="28" t="inlineStr">
        <is>
          <t>QA추가</t>
        </is>
      </c>
      <c r="C68" s="28" t="inlineStr">
        <is>
          <t>API</t>
        </is>
      </c>
      <c r="D68" s="29" t="inlineStr">
        <is>
          <t>예외</t>
        </is>
      </c>
      <c r="E68" s="30" t="inlineStr">
        <is>
          <t>로그인 실패 반복 시 제한 여부</t>
        </is>
      </c>
      <c r="F68" s="30" t="inlineStr">
        <is>
          <t>초기화</t>
        </is>
      </c>
      <c r="G68" s="31" t="inlineStr">
        <is>
          <t>test@minihotel.test에 틀린 비밀번호로 연속 10회 로그인</t>
        </is>
      </c>
      <c r="H68" s="31" t="inlineStr">
        <is>
          <t>정책 확인 필요: 실패 횟수 제한·잠금·지연 여부 (명세에 없음)</t>
        </is>
      </c>
      <c r="I68" s="31" t="inlineStr">
        <is>
          <t>틀린 비밀번호 10회 모두 401(응답 약 0.03초 일정), 11회째 올바른 비밀번호로 바로 로그인 → 횟수 제한·지연·잠금 없음</t>
        </is>
      </c>
      <c r="J68" s="29" t="inlineStr">
        <is>
          <t>확인필요</t>
        </is>
      </c>
      <c r="K68" s="28" t="inlineStr">
        <is>
          <t>2026-10-10</t>
        </is>
      </c>
      <c r="L68" s="28" t="inlineStr">
        <is>
          <t>#9</t>
        </is>
      </c>
      <c r="M68" s="30" t="inlineStr">
        <is>
          <t>무차별 대입 방어 관점. 명세에 정의 없음 → 확인필요
임시 서버에서 1회 측정 (기대결과가 정해지지 않아 회귀 테스트로 두지 않음). enhancement #9 등록
[QA 정책 제안 2026-10-13, 확정 B] 점진적 지연 + 일시 제한 (예: 5회 실패 후 15분 동안 계정+IP별 시도 제한, 429와 남은 시간 안내). 선택지: A 계정 잠금 / B 점진적 지연·일시 제한 / C CAPTCHA. 이유: 잠금은 남의 계정을 일부러 잠그는 데 악용 가능, CAPTCHA는 외부 서비스 필요. B는 기대결과(N회 실패 → 429 → 시간 경과 후 해제)를 명확히 정할 수 있음. 실패 메시지는 TC-43처럼 원인 구분 없이 유지</t>
        </is>
      </c>
      <c r="N68" s="28" t="inlineStr">
        <is>
          <t>Mid</t>
        </is>
      </c>
      <c r="O68" s="32" t="n"/>
      <c r="P68" s="28" t="inlineStr">
        <is>
          <t>1.1</t>
        </is>
      </c>
      <c r="Q68" s="28" t="n"/>
      <c r="R68" s="28" t="n"/>
    </row>
    <row r="69">
      <c r="A69" s="28" t="inlineStr">
        <is>
          <t>TC-68</t>
        </is>
      </c>
      <c r="B69" s="28" t="inlineStr">
        <is>
          <t>QA추가</t>
        </is>
      </c>
      <c r="C69" s="28" t="inlineStr">
        <is>
          <t>API</t>
        </is>
      </c>
      <c r="D69" s="29" t="inlineStr">
        <is>
          <t>예외</t>
        </is>
      </c>
      <c r="E69" s="30" t="inlineStr">
        <is>
          <t>소셜 로그인 취소(error) 콜백의 state 검증</t>
        </is>
      </c>
      <c r="F69" s="30" t="inlineStr">
        <is>
          <t>카카오 로그인 1회 성공 (state 사용 완료)</t>
        </is>
      </c>
      <c r="G69" s="31" t="inlineStr">
        <is>
          <t>① 이미 사용한 state로 GET /api/auth/oauth/kakao/callback?error=access_denied&amp;state=&lt;사용한 state&gt;
② 임의 state + error (state 쿠키 없음)
③ state 없이 error
(대조군: 정상 흐름 취소는 TC-49)</t>
        </is>
      </c>
      <c r="H69" s="31" t="inlineStr">
        <is>
          <t>①②③ 모두 login.html?error=INVALID_STATE. ①은 기존 로그인 상태 유지</t>
        </is>
      </c>
      <c r="I69" s="31" t="inlineStr">
        <is>
          <t>①②③ 모두 OAUTH_CANCELLED로 처리 (같은 조건의 code 콜백은 INVALID_STATE). 취소 후 returnTo(예약 화면)로 못 돌아가고 홈으로 이동</t>
        </is>
      </c>
      <c r="J69" s="29" t="inlineStr">
        <is>
          <t>Fail</t>
        </is>
      </c>
      <c r="K69" s="28" t="inlineStr">
        <is>
          <t>2026-10-10</t>
        </is>
      </c>
      <c r="L69" s="28" t="inlineStr">
        <is>
          <t>#10</t>
        </is>
      </c>
      <c r="M69" s="30" t="inlineStr">
        <is>
          <t>수동 탐색 중 발견 → 로그 분석 → 재현 → 명세 대조. AI TC-50은 code 콜백 경로만 다룸
기대값 근거: 명세 126행 "콜백 → state 검증"에 에러 콜백 예외 없음, 132행 INVALID_STATE = "state 쿠키 없음/불일치 (CSRF 방어)"
결함 #10 등록. test.fail로 표시
Playwright API 자동화: tests/api/auth.spec.ts</t>
        </is>
      </c>
      <c r="N69" s="28" t="inlineStr">
        <is>
          <t>Mid</t>
        </is>
      </c>
      <c r="O69" s="32" t="n"/>
      <c r="P69" s="28" t="inlineStr">
        <is>
          <t>1.1</t>
        </is>
      </c>
      <c r="Q69" s="28" t="n"/>
      <c r="R69" s="28" t="n"/>
    </row>
    <row r="70">
      <c r="A70" s="28" t="inlineStr">
        <is>
          <t>TC-69</t>
        </is>
      </c>
      <c r="B70" s="28" t="inlineStr">
        <is>
          <t>AI</t>
        </is>
      </c>
      <c r="C70" s="28" t="inlineStr">
        <is>
          <t>API</t>
        </is>
      </c>
      <c r="D70" s="29" t="inlineStr">
        <is>
          <t>예외</t>
        </is>
      </c>
      <c r="E70" s="30" t="inlineStr">
        <is>
          <t>대소문자 다른 이메일로 로그인</t>
        </is>
      </c>
      <c r="F70" s="30" t="inlineStr">
        <is>
          <t>초기화 (test@minihotel.test 가입되어 있음)</t>
        </is>
      </c>
      <c r="G70" s="31" t="inlineStr">
        <is>
          <t>POST /api/auth/login: TEST@MiniHotel.test / Test1234</t>
        </is>
      </c>
      <c r="H70" s="31" t="inlineStr">
        <is>
          <t>200, test@minihotel.test 계정으로 로그인</t>
        </is>
      </c>
      <c r="I70" s="31" t="n"/>
      <c r="J70" s="29" t="inlineStr">
        <is>
          <t>미실행</t>
        </is>
      </c>
      <c r="K70" s="28" t="n"/>
      <c r="L70" s="28" t="n"/>
      <c r="M70" s="30" t="inlineStr">
        <is>
          <t>근거: 명세 179행 「이메일은 대소문자를 구분하지 않습니다 (가입·로그인·예약 조회 모두)」
기존 TC-41과 일부 겹침 (TC-41은 가입 시 대소문자, 이 TC는 로그인 시 대소문자)</t>
        </is>
      </c>
      <c r="N70" s="28" t="inlineStr">
        <is>
          <t>Mid</t>
        </is>
      </c>
      <c r="O70" s="32" t="n"/>
      <c r="P70" s="28" t="inlineStr">
        <is>
          <t>1.1</t>
        </is>
      </c>
      <c r="Q70" s="28" t="n"/>
      <c r="R70" s="28" t="n"/>
    </row>
    <row r="71">
      <c r="A71" s="28" t="inlineStr">
        <is>
          <t>TC-70</t>
        </is>
      </c>
      <c r="B71" s="28" t="inlineStr">
        <is>
          <t>AI</t>
        </is>
      </c>
      <c r="C71" s="28" t="inlineStr">
        <is>
          <t>API</t>
        </is>
      </c>
      <c r="D71" s="29" t="inlineStr">
        <is>
          <t>경계</t>
        </is>
      </c>
      <c r="E71" s="30" t="inlineStr">
        <is>
          <t>이메일 앞뒤 공백 가입·로그인</t>
        </is>
      </c>
      <c r="F71" s="30" t="inlineStr">
        <is>
          <t>초기화</t>
        </is>
      </c>
      <c r="G71" s="31" t="inlineStr">
        <is>
          <t>1. " space@test.com "(앞뒤 공백)으로 가입
2. 공백 없이 space@test.com으로 로그인 시도</t>
        </is>
      </c>
      <c r="H71" s="31" t="inlineStr">
        <is>
          <t>공백을 제거해 정상 처리하거나 400. 공백 포함 이메일로 계정이 생성되면 안 됨</t>
        </is>
      </c>
      <c r="I71" s="31" t="inlineStr">
        <is>
          <t>앞뒤 공백을 제거해 가입(201), DB에 공백 없는 이메일로 저장. 공백 없이 로그인 → 같은 계정 200</t>
        </is>
      </c>
      <c r="J71" s="29" t="inlineStr">
        <is>
          <t>Pass</t>
        </is>
      </c>
      <c r="K71" s="28" t="inlineStr">
        <is>
          <t>2026-10-13</t>
        </is>
      </c>
      <c r="L71" s="28" t="n"/>
      <c r="M71" s="30" t="inlineStr">
        <is>
          <t>명세 없음, 확인필요
Playwright API 자동화: tests/api/auth.spec.ts</t>
        </is>
      </c>
      <c r="N71" s="28" t="inlineStr">
        <is>
          <t>Mid</t>
        </is>
      </c>
      <c r="O71" s="32" t="n"/>
      <c r="P71" s="28" t="inlineStr">
        <is>
          <t>1.1</t>
        </is>
      </c>
      <c r="Q71" s="28" t="n"/>
      <c r="R71" s="28" t="n"/>
    </row>
    <row r="72">
      <c r="A72" s="28" t="inlineStr">
        <is>
          <t>TC-71</t>
        </is>
      </c>
      <c r="B72" s="28" t="inlineStr">
        <is>
          <t>AI</t>
        </is>
      </c>
      <c r="C72" s="28" t="inlineStr">
        <is>
          <t>UI</t>
        </is>
      </c>
      <c r="D72" s="29" t="inlineStr">
        <is>
          <t>예외</t>
        </is>
      </c>
      <c r="E72" s="30" t="inlineStr">
        <is>
          <t>비밀번호 확인 불일치</t>
        </is>
      </c>
      <c r="F72" s="30" t="inlineStr">
        <is>
          <t>비로그인, 회원가입 화면</t>
        </is>
      </c>
      <c r="G72" s="31" t="inlineStr">
        <is>
          <t>회원가입 화면에서 비밀번호와 비밀번호 확인을 다르게 입력 후 가입</t>
        </is>
      </c>
      <c r="H72" s="31" t="inlineStr">
        <is>
          <t>signup-password-confirm-error 표시, 가입 요청 안 나감, 계정 생성 안 됨</t>
        </is>
      </c>
      <c r="I72" s="31" t="n"/>
      <c r="J72" s="29" t="inlineStr">
        <is>
          <t>미실행</t>
        </is>
      </c>
      <c r="K72" s="28" t="n"/>
      <c r="L72" s="28" t="n"/>
      <c r="M72" s="30" t="inlineStr">
        <is>
          <t>근거: 명세 390행 화면 data-testid signup-password-confirm-error (불일치 시 동작을 적은 문장은 없음)</t>
        </is>
      </c>
      <c r="N72" s="28" t="inlineStr">
        <is>
          <t>Mid</t>
        </is>
      </c>
      <c r="O72" s="32" t="n"/>
      <c r="P72" s="28" t="inlineStr">
        <is>
          <t>1.1</t>
        </is>
      </c>
      <c r="Q72" s="28" t="n"/>
      <c r="R72" s="28" t="n"/>
    </row>
    <row r="73">
      <c r="A73" s="28" t="inlineStr">
        <is>
          <t>TC-72</t>
        </is>
      </c>
      <c r="B73" s="28" t="inlineStr">
        <is>
          <t>AI</t>
        </is>
      </c>
      <c r="C73" s="28" t="inlineStr">
        <is>
          <t>API</t>
        </is>
      </c>
      <c r="D73" s="29" t="inlineStr">
        <is>
          <t>예외</t>
        </is>
      </c>
      <c r="E73" s="30" t="inlineStr">
        <is>
          <t>가입 필수값·형식 오류</t>
        </is>
      </c>
      <c r="F73" s="30" t="inlineStr">
        <is>
          <t>초기화</t>
        </is>
      </c>
      <c r="G73" s="31" t="inlineStr">
        <is>
          <t>POST /api/auth/signup을 한 필드씩 바꿔 호출: 이름 0자 / 이름 51자 / 이메일 형식 오류 / 전화 010-123-4567</t>
        </is>
      </c>
      <c r="H73" s="31" t="inlineStr">
        <is>
          <t>400 VALIDATION_ERROR, details에 해당 필드 키 (전화는 #5 연계 확인)</t>
        </is>
      </c>
      <c r="I73" s="31" t="inlineStr">
        <is>
          <t>이름 0자·51자, 이메일 형식 오류: 400 VALIDATION_ERROR + details 해당 키, 계정 생성 안 됨
전화 010-123-4567: 201 가입 성공, phone 그대로 저장 (#5 재현)</t>
        </is>
      </c>
      <c r="J73" s="29" t="inlineStr">
        <is>
          <t>Fail</t>
        </is>
      </c>
      <c r="K73" s="28" t="inlineStr">
        <is>
          <t>2026-10-13</t>
        </is>
      </c>
      <c r="L73" s="28" t="inlineStr">
        <is>
          <t>#5</t>
        </is>
      </c>
      <c r="M73" s="30" t="inlineStr">
        <is>
          <t>근거: 명세 164행 「VALIDATION_ERROR는 항상 details에 문제가 된 필드 이름을 키로 담습니다」, 177행 「이름: 1~50자 / 이메일: 일반 이메일 형식 / 전화번호: 010-1234-5678 또는 01012345678」
기존 TC-40(비밀번호 규칙)과 같은 방식, 대상 필드가 다름. 전화번호는 예약 API의 #5(TC-23)와 같은 검증인지 확인
전화번호는 예약 API와 같은 PHONE_RE(src/utils.js 3행)를 써서 #5와 원인이 같음 → #5에 "회원가입 API에서도 재현" 코멘트 추가 (011·016 앞자리, 하이픈 혼용 010-12345678도 허용됨)
Playwright API 자동화: tests/api/auth.spec.ts (전화번호 케이스는 별도 테스트로 나눠 test.fail + #5 링크)</t>
        </is>
      </c>
      <c r="N73" s="28" t="inlineStr">
        <is>
          <t>High</t>
        </is>
      </c>
      <c r="O73" s="32" t="n"/>
      <c r="P73" s="28" t="inlineStr">
        <is>
          <t>1.1</t>
        </is>
      </c>
      <c r="Q73" s="28" t="n"/>
      <c r="R73" s="28" t="n"/>
    </row>
    <row r="74">
      <c r="A74" s="28" t="inlineStr">
        <is>
          <t>TC-73</t>
        </is>
      </c>
      <c r="B74" s="28" t="inlineStr">
        <is>
          <t>AI수정</t>
        </is>
      </c>
      <c r="C74" s="28" t="inlineStr">
        <is>
          <t>API</t>
        </is>
      </c>
      <c r="D74" s="29" t="inlineStr">
        <is>
          <t>경계</t>
        </is>
      </c>
      <c r="E74" s="30" t="inlineStr">
        <is>
          <t>비밀번호 특수문자·공백</t>
        </is>
      </c>
      <c r="F74" s="30" t="inlineStr">
        <is>
          <t>초기화</t>
        </is>
      </c>
      <c r="G74" s="31" t="inlineStr">
        <is>
          <t>POST /api/auth/signup으로 각각 가입 후 같은 비밀번호로 로그인
① Abcd1234!
② "Abcd 1234" (가운데 공백)
③ " Abcd1234" (앞 공백) 가입 → 공백 없이 "Abcd1234"로 로그인 [QA 추가]</t>
        </is>
      </c>
      <c r="H74" s="31" t="inlineStr">
        <is>
          <t>허용 여부 결과 기록 (명세는 "영문과 숫자 포함 8~64자"만 정의)</t>
        </is>
      </c>
      <c r="I74" s="31" t="inlineStr">
        <is>
          <t>"Abcd1234!", "Abcd 1234" 모두 가입 허용(201), 같은 비밀번호로 로그인 200
" Abcd1234"(앞 공백) 가입 허용(201) → 공백 없이 "Abcd1234"로 로그인 시 401 (앞 공백까지 비밀번호로 저장)</t>
        </is>
      </c>
      <c r="J74" s="29" t="inlineStr">
        <is>
          <t>확인필요</t>
        </is>
      </c>
      <c r="K74" s="28" t="inlineStr">
        <is>
          <t>2026-10-13</t>
        </is>
      </c>
      <c r="L74" s="28" t="inlineStr">
        <is>
          <t>#14</t>
        </is>
      </c>
      <c r="M74" s="30" t="inlineStr">
        <is>
          <t>명세 없음, 확인필요
기존 TC-40(비밀번호 규칙)과 일부 겹침 (TC-40은 길이·영문/숫자 조합만 확인)
[참고 자료] AI 제안 내용을 원문으로 확인함 (2026-10-13)
- NIST SP 800-63B 5.1.1.2: 공백 포함 출력 가능한 ASCII 문자를 허용 권장(SHOULD), 연속 공백 병합 가능(MAY), 잘라내기 금지(SHALL NOT)
  https://github.com/usnistgov/800-63-3/blob/nist-pages/sp800-63b/sec5_authenticators.md
- Google 계정 도움말: 앞뒤 공백으로 시작·끝나는 비밀번호 사용 불가
  https://support.google.com/accounts/answer/32040
→ 가운데 공백 허용은 권장 방향. 앞뒤 공백 처리와 비밀번호 보기 기능은 정책 확인 필요
Playwright API 자동화: tests/api/auth.spec.ts (결과 기록용)
개선 제안 #14 등록 (enhancement, needs-spec): 앞 공백 가입 201 → 공백 없이 로그인 401
출처 AI수정: AI 초안(①②)은 Pass, #14를 찾은 앞 공백 케이스(③)는 QA가 추가. AI 원문 절차는 O열에 보존
[QA 정책 제안 2026-10-13, 확정 A + 비밀번호 보기] 가입·비밀번호 설정 시 앞뒤 공백이 있으면 400과 "비밀번호 앞뒤에 공백을 넣을 수 없어요" 안내, 가운데 공백은 NIST 권장대로 허용, 비밀번호 입력란에 보기(👁) 버튼 추가. 선택지: A 앞뒤 공백 거부 / B 자동 제거. B는 사용자가 정한 비밀번호를 몰래 바꾸고 기존 계정 로그인이 깨질 수 있어 제외</t>
        </is>
      </c>
      <c r="N74" s="28" t="inlineStr">
        <is>
          <t>Low</t>
        </is>
      </c>
      <c r="O74" s="32" t="inlineStr">
        <is>
          <t>Abcd1234!, "Abcd 1234"로 가입</t>
        </is>
      </c>
      <c r="P74" s="28" t="inlineStr">
        <is>
          <t>1.1</t>
        </is>
      </c>
      <c r="Q74" s="28" t="n"/>
      <c r="R74" s="28" t="n"/>
    </row>
    <row r="75">
      <c r="A75" s="28" t="inlineStr">
        <is>
          <t>TC-74</t>
        </is>
      </c>
      <c r="B75" s="28" t="inlineStr">
        <is>
          <t>AI</t>
        </is>
      </c>
      <c r="C75" s="28" t="inlineStr">
        <is>
          <t>UI</t>
        </is>
      </c>
      <c r="D75" s="29" t="inlineStr">
        <is>
          <t>예외</t>
        </is>
      </c>
      <c r="E75" s="30" t="inlineStr">
        <is>
          <t>이름에 스크립트 입력</t>
        </is>
      </c>
      <c r="F75" s="30" t="inlineStr">
        <is>
          <t>초기화</t>
        </is>
      </c>
      <c r="G75" s="31" t="inlineStr">
        <is>
          <t>1. 이름 &lt;img src=x onerror=alert(1)&gt;로 가입
2. 헤더·예약 화면 확인</t>
        </is>
      </c>
      <c r="H75" s="31" t="inlineStr">
        <is>
          <t>스크립트가 실행되지 않고 글자로 표시</t>
        </is>
      </c>
      <c r="I75" s="31" t="inlineStr">
        <is>
          <t>이름 &lt;img src=x onerror=alert(1)&gt;로 가입 → 헤더·예약 입력·완료·내 예약 화면 모두 글자 그대로 표시, 경고창 없음</t>
        </is>
      </c>
      <c r="J75" s="29" t="inlineStr">
        <is>
          <t>Pass</t>
        </is>
      </c>
      <c r="K75" s="28" t="inlineStr">
        <is>
          <t>2026-10-13</t>
        </is>
      </c>
      <c r="L75" s="28" t="n"/>
      <c r="M75" s="30" t="inlineStr">
        <is>
          <t>명세 없음, 확인필요
수동 실행 (실제 Chrome)</t>
        </is>
      </c>
      <c r="N75" s="28" t="inlineStr">
        <is>
          <t>High</t>
        </is>
      </c>
      <c r="O75" s="32" t="n"/>
      <c r="P75" s="28" t="inlineStr">
        <is>
          <t>1.1</t>
        </is>
      </c>
      <c r="Q75" s="28" t="n"/>
      <c r="R75" s="28" t="n"/>
    </row>
    <row r="76">
      <c r="A76" s="28" t="inlineStr">
        <is>
          <t>TC-75</t>
        </is>
      </c>
      <c r="B76" s="28" t="inlineStr">
        <is>
          <t>AI</t>
        </is>
      </c>
      <c r="C76" s="28" t="inlineStr">
        <is>
          <t>API</t>
        </is>
      </c>
      <c r="D76" s="29" t="inlineStr">
        <is>
          <t>정상</t>
        </is>
      </c>
      <c r="E76" s="30" t="inlineStr">
        <is>
          <t>응답·DB에 비밀번호 노출</t>
        </is>
      </c>
      <c r="F76" s="30" t="inlineStr">
        <is>
          <t>초기화</t>
        </is>
      </c>
      <c r="G76" s="31" t="inlineStr">
        <is>
          <t>1. 가입·로그인 응답 본문 확인
2. DB users 테이블 확인</t>
        </is>
      </c>
      <c r="H76" s="31" t="inlineStr">
        <is>
          <t>응답에 password/password_hash 없음, DB에는 해시만 저장</t>
        </is>
      </c>
      <c r="I76" s="31" t="inlineStr">
        <is>
          <t>가입·로그인·/me 응답에 password 관련 키·평문 비밀번호 없음. DB password_hash에 해시만 저장</t>
        </is>
      </c>
      <c r="J76" s="29" t="inlineStr">
        <is>
          <t>Pass</t>
        </is>
      </c>
      <c r="K76" s="28" t="inlineStr">
        <is>
          <t>2026-10-13</t>
        </is>
      </c>
      <c r="L76" s="28" t="n"/>
      <c r="M76" s="30" t="inlineStr">
        <is>
          <t>근거: 명세 323행 「password_hash: scrypt 해시」
기존 TC-60(로그 마스킹)과 관점이 비슷하나 대상이 다름 (TC-60은 로그, 이 TC는 응답·DB)
Playwright API 자동화: tests/api/auth.spec.ts</t>
        </is>
      </c>
      <c r="N76" s="28" t="inlineStr">
        <is>
          <t>High</t>
        </is>
      </c>
      <c r="O76" s="32" t="n"/>
      <c r="P76" s="28" t="inlineStr">
        <is>
          <t>1.1</t>
        </is>
      </c>
      <c r="Q76" s="28" t="n"/>
      <c r="R76" s="28" t="n"/>
    </row>
    <row r="77">
      <c r="A77" s="28" t="inlineStr">
        <is>
          <t>TC-76</t>
        </is>
      </c>
      <c r="B77" s="28" t="inlineStr">
        <is>
          <t>AI</t>
        </is>
      </c>
      <c r="C77" s="28" t="inlineStr">
        <is>
          <t>UI</t>
        </is>
      </c>
      <c r="D77" s="29" t="inlineStr">
        <is>
          <t>정상</t>
        </is>
      </c>
      <c r="E77" s="30" t="inlineStr">
        <is>
          <t>로그인 쿠키 보안 속성</t>
        </is>
      </c>
      <c r="F77" s="30" t="inlineStr">
        <is>
          <t>test 계정 로그인</t>
        </is>
      </c>
      <c r="G77" s="31" t="inlineStr">
        <is>
          <t>1. 개발자도구에서 sid 쿠키 속성 확인
2. 콘솔에서 document.cookie 확인</t>
        </is>
      </c>
      <c r="H77" s="31" t="inlineStr">
        <is>
          <t>sid가 HttpOnly, SameSite=Lax. document.cookie에 sid 안 보임</t>
        </is>
      </c>
      <c r="I77" s="31" t="inlineStr">
        <is>
          <t>sid 쿠키 HttpOnly ✓, SameSite=Lax (Secure는 http 로컬이라 비어 있음). Console document.cookie 결과 ''</t>
        </is>
      </c>
      <c r="J77" s="29" t="inlineStr">
        <is>
          <t>Pass</t>
        </is>
      </c>
      <c r="K77" s="28" t="inlineStr">
        <is>
          <t>2026-10-13</t>
        </is>
      </c>
      <c r="L77" s="28" t="n"/>
      <c r="M77" s="30" t="inlineStr">
        <is>
          <t>근거: 명세 169행 「쿠키 sid (HttpOnly, SameSite=Lax)」
기존 TC-44와 일부 겹침 (TC-44는 쿠키 인증 동작만, 이 TC는 쿠키 속성)
수동 실행 (실제 Chrome)</t>
        </is>
      </c>
      <c r="N77" s="28" t="inlineStr">
        <is>
          <t>Mid</t>
        </is>
      </c>
      <c r="O77" s="32" t="n"/>
      <c r="P77" s="28" t="inlineStr">
        <is>
          <t>1.1</t>
        </is>
      </c>
      <c r="Q77" s="28" t="n"/>
      <c r="R77" s="28" t="n"/>
    </row>
    <row r="78">
      <c r="A78" s="28" t="inlineStr">
        <is>
          <t>TC-77</t>
        </is>
      </c>
      <c r="B78" s="28" t="inlineStr">
        <is>
          <t>AI</t>
        </is>
      </c>
      <c r="C78" s="28" t="inlineStr">
        <is>
          <t>API</t>
        </is>
      </c>
      <c r="D78" s="29" t="inlineStr">
        <is>
          <t>예외</t>
        </is>
      </c>
      <c r="E78" s="30" t="inlineStr">
        <is>
          <t>소셜 가입 계정으로 이메일 로그인</t>
        </is>
      </c>
      <c r="F78" s="30" t="inlineStr">
        <is>
          <t>카카오로 가입한 계정 있음</t>
        </is>
      </c>
      <c r="G78" s="31" t="inlineStr">
        <is>
          <t>POST /api/auth/login: 카카오로 가입한 이메일 + 임의 비밀번호</t>
        </is>
      </c>
      <c r="H78" s="31" t="inlineStr">
        <is>
          <t>401 INVALID_CREDENTIALS</t>
        </is>
      </c>
      <c r="I78" s="31" t="n"/>
      <c r="J78" s="29" t="inlineStr">
        <is>
          <t>미실행</t>
        </is>
      </c>
      <c r="K78" s="28" t="n"/>
      <c r="L78" s="28" t="n"/>
      <c r="M78" s="30" t="inlineStr">
        <is>
          <t>근거: 명세 192행 「소셜 가입 계정은 비밀번호가 없어 항상 401」
관련: TC-53(이메일 가입 주소로 구글 로그인), TC-63(구글 가입 주소로 이메일 가입)의 반대 방향
2026-10-13 수동 확인: 기대결과 401은 충족. 일반 실패 문구만 나와 소셜 가입 사용자가 로그인 방법을 알기 어려움 → 개선 제안 #15 (계정별 문구 대신 모든 실패에 같은 소셜 로그인 안내). 실행결과는 자동화 작성 후 기록</t>
        </is>
      </c>
      <c r="N78" s="28" t="inlineStr">
        <is>
          <t>Mid</t>
        </is>
      </c>
      <c r="O78" s="32" t="n"/>
      <c r="P78" s="28" t="inlineStr">
        <is>
          <t>1.1</t>
        </is>
      </c>
      <c r="Q78" s="28" t="n"/>
      <c r="R78" s="28" t="n"/>
    </row>
    <row r="79">
      <c r="A79" s="28" t="inlineStr">
        <is>
          <t>TC-78</t>
        </is>
      </c>
      <c r="B79" s="28" t="inlineStr">
        <is>
          <t>AI</t>
        </is>
      </c>
      <c r="C79" s="28" t="inlineStr">
        <is>
          <t>UI</t>
        </is>
      </c>
      <c r="D79" s="29" t="inlineStr">
        <is>
          <t>정상</t>
        </is>
      </c>
      <c r="E79" s="30" t="inlineStr">
        <is>
          <t>가입 직후 바로 예약</t>
        </is>
      </c>
      <c r="F79" s="30" t="inlineStr">
        <is>
          <t>초기화, 비로그인</t>
        </is>
      </c>
      <c r="G79" s="31" t="inlineStr">
        <is>
          <t>1. 회원가입
2. 바로 예약
3. 내 예약 조회</t>
        </is>
      </c>
      <c r="H79" s="31" t="inlineStr">
        <is>
          <t>bookedAs MEMBER, user_id 연결, 회원 예약 목록에 표시</t>
        </is>
      </c>
      <c r="I79" s="31" t="inlineStr">
        <is>
          <t>화면 가입 직후 예약 → bookedAs MEMBER, reservations.user_id = 새 계정 id, 내 예약 화면 회원 예약 목록에 표시</t>
        </is>
      </c>
      <c r="J79" s="29" t="inlineStr">
        <is>
          <t>Pass</t>
        </is>
      </c>
      <c r="K79" s="28" t="inlineStr">
        <is>
          <t>2026-10-13</t>
        </is>
      </c>
      <c r="L79" s="28" t="n"/>
      <c r="M79" s="30" t="inlineStr">
        <is>
          <t>근거: 명세 110행 「회원으로 예약하면 이름·이메일·전화번호가 자동 입력되고, 이메일은 계정 이메일로 고정」, 257행 「로그인 상태로 요청하면 회원 예약(bookedAs: MEMBER)」
기존 TC-39(가입)+TC-54(회원 예약)+TC-55(목록)를 이은 흐름. 기존 TC는 시드 계정 기준, 이 TC는 새로 가입한 계정 기준
Playwright UI 자동화: tests/ui/auth.spec.ts</t>
        </is>
      </c>
      <c r="N79" s="28" t="inlineStr">
        <is>
          <t>Mid</t>
        </is>
      </c>
      <c r="O79" s="32" t="n"/>
      <c r="P79" s="28" t="inlineStr">
        <is>
          <t>1.1</t>
        </is>
      </c>
      <c r="Q79" s="28" t="n"/>
      <c r="R79" s="28" t="n"/>
    </row>
    <row r="80">
      <c r="A80" s="28" t="inlineStr">
        <is>
          <t>TC-79</t>
        </is>
      </c>
      <c r="B80" s="28" t="inlineStr">
        <is>
          <t>AI</t>
        </is>
      </c>
      <c r="C80" s="28" t="inlineStr">
        <is>
          <t>UI</t>
        </is>
      </c>
      <c r="D80" s="29" t="inlineStr">
        <is>
          <t>예외</t>
        </is>
      </c>
      <c r="E80" s="30" t="inlineStr">
        <is>
          <t>로그인 상태에서 로그인·가입 화면 접근</t>
        </is>
      </c>
      <c r="F80" s="30" t="inlineStr">
        <is>
          <t>test 계정 로그인</t>
        </is>
      </c>
      <c r="G80" s="31" t="inlineStr">
        <is>
          <t>로그인 후 login.html, signup.html 주소 직접 입력</t>
        </is>
      </c>
      <c r="H80" s="31" t="inlineStr">
        <is>
          <t>홈 또는 returnTo로 이동</t>
        </is>
      </c>
      <c r="I80" s="31" t="inlineStr">
        <is>
          <t>로그인 상태에서 login.html·signup.html 직접 접근 → /index.html로 이동. login.html?returnTo=/my.html → /my.html로 이동</t>
        </is>
      </c>
      <c r="J80" s="29" t="inlineStr">
        <is>
          <t>Pass</t>
        </is>
      </c>
      <c r="K80" s="28" t="inlineStr">
        <is>
          <t>2026-10-13</t>
        </is>
      </c>
      <c r="L80" s="28" t="n"/>
      <c r="M80" s="30" t="inlineStr">
        <is>
          <t>명세 없음, 확인필요
Playwright UI 자동화: tests/ui/auth.spec.ts</t>
        </is>
      </c>
      <c r="N80" s="28" t="inlineStr">
        <is>
          <t>Low</t>
        </is>
      </c>
      <c r="O80" s="32" t="n"/>
      <c r="P80" s="28" t="inlineStr">
        <is>
          <t>1.1</t>
        </is>
      </c>
      <c r="Q80" s="28" t="n"/>
      <c r="R80" s="28" t="n"/>
    </row>
    <row r="81">
      <c r="A81" s="28" t="inlineStr">
        <is>
          <t>TC-80</t>
        </is>
      </c>
      <c r="B81" s="28" t="inlineStr">
        <is>
          <t>AI</t>
        </is>
      </c>
      <c r="C81" s="28" t="inlineStr">
        <is>
          <t>UI</t>
        </is>
      </c>
      <c r="D81" s="29" t="inlineStr">
        <is>
          <t>정상</t>
        </is>
      </c>
      <c r="E81" s="30" t="inlineStr">
        <is>
          <t>두 브라우저 동시 로그인 후 한쪽 로그아웃</t>
        </is>
      </c>
      <c r="F81" s="30" t="inlineStr">
        <is>
          <t>test 계정</t>
        </is>
      </c>
      <c r="G81" s="31" t="inlineStr">
        <is>
          <t>1. 일반 창·시크릿 창에서 같은 계정 로그인
2. 한쪽만 로그아웃
3. 양쪽 새로고침</t>
        </is>
      </c>
      <c r="H81" s="31" t="inlineStr">
        <is>
          <t>로그아웃한 쪽만 비로그인, 다른 쪽 세션 유지</t>
        </is>
      </c>
      <c r="I81" s="31" t="inlineStr">
        <is>
          <t>일반 창·시크릿 창 같은 계정 로그인 → 일반 창만 로그아웃 → 새로고침 시 일반 창만 비로그인, 시크릿 창 로그인 유지</t>
        </is>
      </c>
      <c r="J81" s="29" t="inlineStr">
        <is>
          <t>Pass</t>
        </is>
      </c>
      <c r="K81" s="28" t="inlineStr">
        <is>
          <t>2026-10-13</t>
        </is>
      </c>
      <c r="L81" s="28" t="n"/>
      <c r="M81" s="30" t="inlineStr">
        <is>
          <t>근거: 명세 196행 「세션 삭제 + 쿠키 제거」 (현재 세션만 삭제)
기존 TC-45(로그아웃)와 일부 겹침 (TC-45는 단일 세션)
수동 실행 (실제 Chrome)
모든 기기 로그아웃 기능 없음. 비밀번호 재설정(v1.2) 시 다른 세션 처리 TC로 연결 예정</t>
        </is>
      </c>
      <c r="N81" s="28" t="inlineStr">
        <is>
          <t>Mid</t>
        </is>
      </c>
      <c r="O81" s="32" t="n"/>
      <c r="P81" s="28" t="inlineStr">
        <is>
          <t>1.1</t>
        </is>
      </c>
      <c r="Q81" s="28" t="n"/>
      <c r="R81" s="28" t="n"/>
    </row>
  </sheetData>
  <autoFilter ref="A1:R81"/>
  <conditionalFormatting sqref="A2:O81">
    <cfRule type="expression" rank="0" priority="2" equalAverage="0" aboveAverage="0" dxfId="7" text="" percent="0" bottom="0">
      <formula>$J2="Fail"</formula>
    </cfRule>
    <cfRule type="expression" rank="0" priority="3" equalAverage="0" aboveAverage="0" dxfId="8" text="" percent="0" bottom="0">
      <formula>$J2="Pass"</formula>
    </cfRule>
    <cfRule type="expression" rank="0" priority="4" equalAverage="0" aboveAverage="0" dxfId="9" text="" percent="0" bottom="0">
      <formula>$J2="확인필요"</formula>
    </cfRule>
  </conditionalFormatting>
  <conditionalFormatting sqref="B2:B81">
    <cfRule type="expression" rank="0" priority="5" equalAverage="0" aboveAverage="0" dxfId="10" text="" percent="0" bottom="0">
      <formula>$B2="QA추가"</formula>
    </cfRule>
  </conditionalFormatting>
  <dataValidations count="3">
    <dataValidation sqref="B2:B81" showDropDown="0" showInputMessage="0" showErrorMessage="0" allowBlank="0" type="list" errorStyle="stop" operator="between">
      <formula1>"AI,AI수정,QA추가"</formula1>
      <formula2>0</formula2>
    </dataValidation>
    <dataValidation sqref="J2:J81" showDropDown="0" showInputMessage="0" showErrorMessage="0" allowBlank="0" type="list" errorStyle="stop" operator="between">
      <formula1>"Pass,Fail,확인필요,미실행"</formula1>
      <formula2>0</formula2>
    </dataValidation>
    <dataValidation sqref="Q2:Q81" showDropDown="0" showInputMessage="0" showErrorMessage="0" allowBlank="1" type="list">
      <formula1>"Pass,Fail,확인필요,미실행"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24" min="1" max="1"/>
    <col width="12" customWidth="1" style="24" min="2" max="6"/>
    <col width="13" customWidth="1" style="25" min="3" max="3"/>
  </cols>
  <sheetData>
    <row r="1" ht="21.6" customHeight="1" s="25">
      <c r="A1" s="33" t="inlineStr">
        <is>
          <t>AI 생성 TC 리뷰 요약</t>
        </is>
      </c>
    </row>
    <row r="2" ht="15" customHeight="1" s="25">
      <c r="A2" s="34" t="inlineStr">
        <is>
          <t>숫자는 '테스트케이스' 시트에서 자동 집계됩니다. v1.0·v1.1을 따로 집계합니다 (v1.0: 2~39행, v1.1: 40~81행).</t>
        </is>
      </c>
    </row>
    <row r="3" ht="15" customHeight="1" s="25">
      <c r="A3" s="35" t="inlineStr">
        <is>
          <t>출처별</t>
        </is>
      </c>
    </row>
    <row r="4" ht="15" customHeight="1" s="25">
      <c r="A4" s="49" t="inlineStr">
        <is>
          <t>v1.0 (TC-01~38)</t>
        </is>
      </c>
    </row>
    <row r="5" ht="17.15" customHeight="1" s="25">
      <c r="A5" s="27" t="inlineStr">
        <is>
          <t>출처</t>
        </is>
      </c>
      <c r="B5" s="27" t="inlineStr">
        <is>
          <t>건수</t>
        </is>
      </c>
      <c r="C5" s="27" t="inlineStr">
        <is>
          <t>Pass</t>
        </is>
      </c>
      <c r="D5" s="27" t="inlineStr">
        <is>
          <t>Fail</t>
        </is>
      </c>
      <c r="E5" s="27" t="inlineStr">
        <is>
          <t>확인필요</t>
        </is>
      </c>
      <c r="F5" s="27" t="inlineStr">
        <is>
          <t>미실행</t>
        </is>
      </c>
    </row>
    <row r="6" ht="17.15" customHeight="1" s="25">
      <c r="A6" s="36" t="inlineStr">
        <is>
          <t>AI</t>
        </is>
      </c>
      <c r="B6" s="36">
        <f>COUNTIF(테스트케이스!$B$2:$B$39,A6)</f>
        <v/>
      </c>
      <c r="C6" s="36">
        <f>COUNTIFS(테스트케이스!$B$2:$B$39,A6,테스트케이스!$J$2:$J$39,"Pass")</f>
        <v/>
      </c>
      <c r="D6" s="36">
        <f>COUNTIFS(테스트케이스!$B$2:$B$39,A6,테스트케이스!$J$2:$J$39,"Fail")</f>
        <v/>
      </c>
      <c r="E6" s="36">
        <f>COUNTIFS(테스트케이스!$B$2:$B$39,A6,테스트케이스!$J$2:$J$39,"확인필요")</f>
        <v/>
      </c>
      <c r="F6" s="36">
        <f>COUNTIFS(테스트케이스!$B$2:$B$39,A6,테스트케이스!$J$2:$J$39,"미실행")</f>
        <v/>
      </c>
    </row>
    <row r="7" ht="17.15" customHeight="1" s="25">
      <c r="A7" s="36" t="inlineStr">
        <is>
          <t>AI수정</t>
        </is>
      </c>
      <c r="B7" s="36">
        <f>COUNTIF(테스트케이스!$B$2:$B$39,A7)</f>
        <v/>
      </c>
      <c r="C7" s="36">
        <f>COUNTIFS(테스트케이스!$B$2:$B$39,A7,테스트케이스!$J$2:$J$39,"Pass")</f>
        <v/>
      </c>
      <c r="D7" s="36">
        <f>COUNTIFS(테스트케이스!$B$2:$B$39,A7,테스트케이스!$J$2:$J$39,"Fail")</f>
        <v/>
      </c>
      <c r="E7" s="36">
        <f>COUNTIFS(테스트케이스!$B$2:$B$39,A7,테스트케이스!$J$2:$J$39,"확인필요")</f>
        <v/>
      </c>
      <c r="F7" s="36">
        <f>COUNTIFS(테스트케이스!$B$2:$B$39,A7,테스트케이스!$J$2:$J$39,"미실행")</f>
        <v/>
      </c>
    </row>
    <row r="8" ht="17.15" customHeight="1" s="25">
      <c r="A8" s="36" t="inlineStr">
        <is>
          <t>QA추가</t>
        </is>
      </c>
      <c r="B8" s="36">
        <f>COUNTIF(테스트케이스!$B$2:$B$39,A8)</f>
        <v/>
      </c>
      <c r="C8" s="36">
        <f>COUNTIFS(테스트케이스!$B$2:$B$39,A8,테스트케이스!$J$2:$J$39,"Pass")</f>
        <v/>
      </c>
      <c r="D8" s="36">
        <f>COUNTIFS(테스트케이스!$B$2:$B$39,A8,테스트케이스!$J$2:$J$39,"Fail")</f>
        <v/>
      </c>
      <c r="E8" s="36">
        <f>COUNTIFS(테스트케이스!$B$2:$B$39,A8,테스트케이스!$J$2:$J$39,"확인필요")</f>
        <v/>
      </c>
      <c r="F8" s="36">
        <f>COUNTIFS(테스트케이스!$B$2:$B$39,A8,테스트케이스!$J$2:$J$39,"미실행")</f>
        <v/>
      </c>
    </row>
    <row r="9" ht="15" customHeight="1" s="25">
      <c r="A9" s="37" t="inlineStr">
        <is>
          <t>합계</t>
        </is>
      </c>
      <c r="B9" s="37">
        <f>SUM(B6:B8)</f>
        <v/>
      </c>
      <c r="C9" s="37">
        <f>SUM(C6:C8)</f>
        <v/>
      </c>
      <c r="D9" s="37">
        <f>SUM(D6:D8)</f>
        <v/>
      </c>
      <c r="E9" s="37">
        <f>SUM(E6:E8)</f>
        <v/>
      </c>
      <c r="F9" s="37">
        <f>SUM(F6:F8)</f>
        <v/>
      </c>
    </row>
    <row r="10" s="25"/>
    <row r="11" ht="15" customHeight="1" s="25">
      <c r="A11" s="49" t="inlineStr">
        <is>
          <t>v1.1 (TC-39~80)</t>
        </is>
      </c>
    </row>
    <row r="12" ht="17.15" customHeight="1" s="25">
      <c r="A12" s="27" t="inlineStr">
        <is>
          <t>출처</t>
        </is>
      </c>
      <c r="B12" s="27" t="inlineStr">
        <is>
          <t>건수</t>
        </is>
      </c>
      <c r="C12" s="27" t="inlineStr">
        <is>
          <t>Pass</t>
        </is>
      </c>
      <c r="D12" s="27" t="inlineStr">
        <is>
          <t>Fail</t>
        </is>
      </c>
      <c r="E12" s="27" t="inlineStr">
        <is>
          <t>확인필요</t>
        </is>
      </c>
      <c r="F12" s="27" t="inlineStr">
        <is>
          <t>미실행</t>
        </is>
      </c>
    </row>
    <row r="13" ht="17.15" customHeight="1" s="25">
      <c r="A13" s="36" t="inlineStr">
        <is>
          <t>AI</t>
        </is>
      </c>
      <c r="B13" s="36">
        <f>COUNTIF(테스트케이스!$B$40:$B$81,A13)</f>
        <v/>
      </c>
      <c r="C13" s="36">
        <f>COUNTIFS(테스트케이스!$B$40:$B$81,A13,테스트케이스!$J$40:$J$81,"Pass")</f>
        <v/>
      </c>
      <c r="D13" s="36">
        <f>COUNTIFS(테스트케이스!$B$40:$B$81,A13,테스트케이스!$J$40:$J$81,"Fail")</f>
        <v/>
      </c>
      <c r="E13" s="36">
        <f>COUNTIFS(테스트케이스!$B$40:$B$81,A13,테스트케이스!$J$40:$J$81,"확인필요")</f>
        <v/>
      </c>
      <c r="F13" s="36">
        <f>COUNTIFS(테스트케이스!$B$40:$B$81,A13,테스트케이스!$J$40:$J$81,"미실행")</f>
        <v/>
      </c>
    </row>
    <row r="14" ht="17.15" customHeight="1" s="25">
      <c r="A14" s="36" t="inlineStr">
        <is>
          <t>AI수정</t>
        </is>
      </c>
      <c r="B14" s="36">
        <f>COUNTIF(테스트케이스!$B$40:$B$81,A14)</f>
        <v/>
      </c>
      <c r="C14" s="36">
        <f>COUNTIFS(테스트케이스!$B$40:$B$81,A14,테스트케이스!$J$40:$J$81,"Pass")</f>
        <v/>
      </c>
      <c r="D14" s="36">
        <f>COUNTIFS(테스트케이스!$B$40:$B$81,A14,테스트케이스!$J$40:$J$81,"Fail")</f>
        <v/>
      </c>
      <c r="E14" s="36">
        <f>COUNTIFS(테스트케이스!$B$40:$B$81,A14,테스트케이스!$J$40:$J$81,"확인필요")</f>
        <v/>
      </c>
      <c r="F14" s="36">
        <f>COUNTIFS(테스트케이스!$B$40:$B$81,A14,테스트케이스!$J$40:$J$81,"미실행")</f>
        <v/>
      </c>
    </row>
    <row r="15" ht="17.15" customHeight="1" s="25">
      <c r="A15" s="36" t="inlineStr">
        <is>
          <t>QA추가</t>
        </is>
      </c>
      <c r="B15" s="36">
        <f>COUNTIF(테스트케이스!$B$40:$B$81,A15)</f>
        <v/>
      </c>
      <c r="C15" s="36">
        <f>COUNTIFS(테스트케이스!$B$40:$B$81,A15,테스트케이스!$J$40:$J$81,"Pass")</f>
        <v/>
      </c>
      <c r="D15" s="36">
        <f>COUNTIFS(테스트케이스!$B$40:$B$81,A15,테스트케이스!$J$40:$J$81,"Fail")</f>
        <v/>
      </c>
      <c r="E15" s="36">
        <f>COUNTIFS(테스트케이스!$B$40:$B$81,A15,테스트케이스!$J$40:$J$81,"확인필요")</f>
        <v/>
      </c>
      <c r="F15" s="36">
        <f>COUNTIFS(테스트케이스!$B$40:$B$81,A15,테스트케이스!$J$40:$J$81,"미실행")</f>
        <v/>
      </c>
    </row>
    <row r="16" ht="15" customHeight="1" s="25">
      <c r="A16" s="37" t="inlineStr">
        <is>
          <t>합계</t>
        </is>
      </c>
      <c r="B16" s="37">
        <f>SUM(B13:B15)</f>
        <v/>
      </c>
      <c r="C16" s="37">
        <f>SUM(C13:C15)</f>
        <v/>
      </c>
      <c r="D16" s="37">
        <f>SUM(D13:D15)</f>
        <v/>
      </c>
      <c r="E16" s="37">
        <f>SUM(E13:E15)</f>
        <v/>
      </c>
      <c r="F16" s="37">
        <f>SUM(F13:F15)</f>
        <v/>
      </c>
    </row>
    <row r="17" s="25"/>
    <row r="18" ht="15" customHeight="1" s="25">
      <c r="A18" s="35" t="inlineStr">
        <is>
          <t>핵심 지표</t>
        </is>
      </c>
    </row>
    <row r="19" ht="17.15" customHeight="1" s="25">
      <c r="A19" s="27" t="inlineStr">
        <is>
          <t>지표</t>
        </is>
      </c>
      <c r="B19" s="27" t="inlineStr">
        <is>
          <t>v1.0</t>
        </is>
      </c>
      <c r="C19" s="27" t="inlineStr">
        <is>
          <t>v1.1</t>
        </is>
      </c>
    </row>
    <row r="20" ht="17.15" customHeight="1" s="25">
      <c r="A20" s="38" t="inlineStr">
        <is>
          <t>AI 생성 TC 수</t>
        </is>
      </c>
      <c r="B20" s="39">
        <f>B6+B7</f>
        <v/>
      </c>
      <c r="C20" s="39">
        <f>B13+B14</f>
        <v/>
      </c>
    </row>
    <row r="21" ht="17.15" customHeight="1" s="25">
      <c r="A21" s="38" t="inlineStr">
        <is>
          <t>그중 QA가 수정한 TC</t>
        </is>
      </c>
      <c r="B21" s="39">
        <f>B7</f>
        <v/>
      </c>
      <c r="C21" s="39">
        <f>B14</f>
        <v/>
      </c>
    </row>
    <row r="22" ht="17.15" customHeight="1" s="25">
      <c r="A22" s="38" t="inlineStr">
        <is>
          <t>QA가 추가한 TC</t>
        </is>
      </c>
      <c r="B22" s="39">
        <f>B8</f>
        <v/>
      </c>
      <c r="C22" s="39">
        <f>B15</f>
        <v/>
      </c>
    </row>
    <row r="23" ht="17.15" customHeight="1" s="25">
      <c r="A23" s="38" t="inlineStr">
        <is>
          <t>Fail 발생 TC 중 AI 원본 그대로인 TC</t>
        </is>
      </c>
      <c r="B23" s="39">
        <f>COUNTIFS(테스트케이스!$B$2:$B$39,"AI",테스트케이스!$J$2:$J$39,"Fail")</f>
        <v/>
      </c>
      <c r="C23" s="39">
        <f>COUNTIFS(테스트케이스!$B$40:$B$81,"AI",테스트케이스!$J$40:$J$81,"Fail")</f>
        <v/>
      </c>
    </row>
    <row r="24" ht="17.15" customHeight="1" s="25">
      <c r="A24" s="38" t="inlineStr">
        <is>
          <t>Fail 발생 TC 중 AI수정·QA추가 TC</t>
        </is>
      </c>
      <c r="B24" s="39">
        <f>COUNTIFS(테스트케이스!$B$2:$B$39,"AI수정",테스트케이스!$J$2:$J$39,"Fail")+COUNTIFS(테스트케이스!$B$2:$B$39,"QA추가",테스트케이스!$J$2:$J$39,"Fail")</f>
        <v/>
      </c>
      <c r="C24" s="39">
        <f>COUNTIFS(테스트케이스!$B$40:$B$81,"AI수정",테스트케이스!$J$40:$J$81,"Fail")+COUNTIFS(테스트케이스!$B$40:$B$81,"QA추가",테스트케이스!$J$40:$J$81,"Fail")</f>
        <v/>
      </c>
    </row>
    <row r="25" s="25"/>
    <row r="26" ht="15" customHeight="1" s="25">
      <c r="A26" s="35" t="inlineStr">
        <is>
          <t>리뷰 결론</t>
        </is>
      </c>
    </row>
    <row r="27" ht="15" customHeight="1" s="25">
      <c r="A27" s="49" t="inlineStr">
        <is>
          <t>v1.0</t>
        </is>
      </c>
    </row>
    <row r="28" ht="31.5" customHeight="1" s="25">
      <c r="A28" s="41" t="inlineStr">
        <is>
          <t>1. AI는 README(명세)를 그대로 따라가 API·개발자 관점 TC로 쏠림 (UI 7건 / API 23건). 사용자 시나리오는 사람이 보완해야 함</t>
        </is>
      </c>
    </row>
    <row r="29" ht="31.5" customHeight="1" s="25">
      <c r="A29" s="41" t="inlineStr">
        <is>
          <t>2. 내부 표기(D+30, 객실 2, R1, data-testid)가 많아 실무자가 바로 실행하기 어려움. 리뷰 과정에서 실제로 해석 혼동 발생</t>
        </is>
      </c>
    </row>
    <row r="30" ht="31.5" customHeight="1" s="25">
      <c r="A30" s="41" t="inlineStr">
        <is>
          <t>3. 기간 겹침 4가지 유형 중 1가지만 생성 → 누락된 '앞쪽 겹침'에서 중복 예약 결함(#2) 발견</t>
        </is>
      </c>
    </row>
    <row r="31" ht="63" customHeight="1" s="25">
      <c r="A31" s="41" t="inlineStr">
        <is>
          <t>4. AI TC는 명세에 적힌 입력 규칙·경계값 결함은 잡았지만(TC-23 → #5), 화면 간 금액 일치·기간 겹침·로그 개인정보처럼 여러 기능에 걸친 결함은 QA가 추가한 TC에서만 나옴 (TC-31 → #1, TC-32 → #2, TC-34 → #3). 단, 금액 결함(#1)은 AI TC-15도 API 응답의 totalPrice로 잡았으나, 고객이 화면마다 다른 금액을 보게 된다는 영향은 화면 간 비교 TC(TC-31)에서만 드러남</t>
        </is>
      </c>
    </row>
    <row r="32" ht="31.5" customHeight="1" s="25">
      <c r="A32" s="41" t="inlineStr">
        <is>
          <t>5. 명세 기반 경계값(체크인 당일, 30박, 0박)과 모호한 명세 표시(TC-02 가정)는 AI가 잘 생성함</t>
        </is>
      </c>
    </row>
    <row r="33" ht="47.25" customHeight="1" s="25">
      <c r="A33" s="41" t="inlineStr">
        <is>
          <t>6. AI가 명세에 없는 조건을 기대결과로 넘겨짚음: TC-04·08·09에서 'error.details에 해당 키 존재'를 기대했으나 README에는 details 포함 조건이 없음 → 자동화 실행에서 Fail로 드러나 리뷰 후 조건 제외 (AI수정 전환)</t>
        </is>
      </c>
    </row>
    <row r="34" ht="15" customHeight="1" s="25">
      <c r="A34" s="49" t="inlineStr">
        <is>
          <t>v1.1</t>
        </is>
      </c>
    </row>
    <row r="35" ht="31.5" customHeight="1" s="25">
      <c r="A35" s="41" t="inlineStr">
        <is>
          <t>1. 처음 만든 AI TC 23건은 수정 1건, 전부 Pass. 새로 나온 문제(#7·#8·#9·#10, 머지 후 #12)는 전부 QA가 추가한 TC에서 나옴(명세 밖 상황)</t>
        </is>
      </c>
    </row>
    <row r="36" ht="47.25" customHeight="1" s="25">
      <c r="A36" s="41" t="inlineStr">
        <is>
          <t>2. 보강 TC에서도 결함은 QA가 추가한 관점에서 나옴(TC-73 → #14). AI 초안(Abcd1234!, "Abcd 1234")은 Pass, QA가 추가한 앞 공백 케이스(" Abcd1234")에서 #14 발견</t>
        </is>
      </c>
    </row>
    <row r="37" s="25"/>
    <row r="38" s="25"/>
    <row r="39" s="25"/>
    <row r="40" s="25"/>
    <row r="41" s="25"/>
    <row r="42" s="25"/>
    <row r="43" s="25"/>
    <row r="44" s="25"/>
    <row r="45" s="25"/>
    <row r="46" s="25"/>
    <row r="47" s="25"/>
    <row r="48" s="25"/>
    <row r="49" s="25"/>
    <row r="50" s="25"/>
    <row r="51" s="25"/>
    <row r="52" s="25"/>
    <row r="53" s="25"/>
    <row r="54" s="25"/>
    <row r="55" s="25"/>
    <row r="56" s="25"/>
    <row r="57" s="25"/>
    <row r="58" s="25"/>
    <row r="59" s="25"/>
    <row r="60" s="25"/>
  </sheetData>
  <mergeCells count="8">
    <mergeCell ref="A33:F33"/>
    <mergeCell ref="A28:F28"/>
    <mergeCell ref="A36:F36"/>
    <mergeCell ref="A32:F32"/>
    <mergeCell ref="A31:F31"/>
    <mergeCell ref="A35:F35"/>
    <mergeCell ref="A30:F30"/>
    <mergeCell ref="A29:F2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24" min="1" max="1"/>
    <col width="60" customWidth="1" style="24" min="2" max="2"/>
    <col width="12" customWidth="1" style="24" min="3" max="3"/>
    <col width="9" customWidth="1" style="24" min="4" max="4"/>
    <col width="13" customWidth="1" style="24" min="5" max="5"/>
    <col width="10" customWidth="1" style="24" min="6" max="6"/>
    <col width="8" customWidth="1" style="24" min="7" max="7"/>
    <col width="52" customWidth="1" style="24" min="8" max="8"/>
  </cols>
  <sheetData>
    <row r="1" ht="17.15" customHeight="1" s="25">
      <c r="A1" s="27" t="inlineStr">
        <is>
          <t>결함 ID</t>
        </is>
      </c>
      <c r="B1" s="27" t="inlineStr">
        <is>
          <t>제목</t>
        </is>
      </c>
      <c r="C1" s="27" t="inlineStr">
        <is>
          <t>유형</t>
        </is>
      </c>
      <c r="D1" s="27" t="inlineStr">
        <is>
          <t>심각도</t>
        </is>
      </c>
      <c r="E1" s="27" t="inlineStr">
        <is>
          <t>관련 TC</t>
        </is>
      </c>
      <c r="F1" s="27" t="inlineStr">
        <is>
          <t>발견 경로</t>
        </is>
      </c>
      <c r="G1" s="27" t="inlineStr">
        <is>
          <t>상태</t>
        </is>
      </c>
      <c r="H1" s="27" t="inlineStr">
        <is>
          <t>링크</t>
        </is>
      </c>
    </row>
    <row r="2" ht="15" customHeight="1" s="25">
      <c r="A2" s="42" t="inlineStr">
        <is>
          <t>#1</t>
        </is>
      </c>
      <c r="B2" s="43" t="inlineStr">
        <is>
          <t>[예약] 화면 표시 금액과 저장 금액 불일치 (저장 금액이 1박 요금만큼 많음)</t>
        </is>
      </c>
      <c r="C2" s="42" t="inlineStr">
        <is>
          <t>bug</t>
        </is>
      </c>
      <c r="D2" s="42" t="inlineStr">
        <is>
          <t>critical</t>
        </is>
      </c>
      <c r="E2" s="42" t="inlineStr">
        <is>
          <t>TC-14, TC-15, TC-31</t>
        </is>
      </c>
      <c r="F2" s="42" t="inlineStr">
        <is>
          <t>manual</t>
        </is>
      </c>
      <c r="G2" s="42" t="inlineStr">
        <is>
          <t>Open</t>
        </is>
      </c>
      <c r="H2" s="44" t="inlineStr">
        <is>
          <t>https://github.com/sophiachae/hotel-booking-qa/issues/1</t>
        </is>
      </c>
    </row>
    <row r="3" ht="15" customHeight="1" s="25">
      <c r="A3" s="42" t="inlineStr">
        <is>
          <t>#2</t>
        </is>
      </c>
      <c r="B3" s="43" t="inlineStr">
        <is>
          <t>[예약] 체크인이 기존 예약보다 앞서면 겹치는 기간이 허용되어 중복 예약 발생</t>
        </is>
      </c>
      <c r="C3" s="42" t="inlineStr">
        <is>
          <t>bug</t>
        </is>
      </c>
      <c r="D3" s="42" t="inlineStr">
        <is>
          <t>critical</t>
        </is>
      </c>
      <c r="E3" s="42" t="inlineStr">
        <is>
          <t>TC-32, TC-37</t>
        </is>
      </c>
      <c r="F3" s="42" t="inlineStr">
        <is>
          <t>manual</t>
        </is>
      </c>
      <c r="G3" s="42" t="inlineStr">
        <is>
          <t>Open</t>
        </is>
      </c>
      <c r="H3" s="44" t="inlineStr">
        <is>
          <t>https://github.com/sophiachae/hotel-booking-qa/issues/2</t>
        </is>
      </c>
    </row>
    <row r="4" ht="15" customHeight="1" s="25">
      <c r="A4" s="42" t="inlineStr">
        <is>
          <t>#3</t>
        </is>
      </c>
      <c r="B4" s="43" t="inlineStr">
        <is>
          <t>[로그] 예약 API 로그에 이메일·전화번호·이름이 평문으로 기록됨</t>
        </is>
      </c>
      <c r="C4" s="42" t="inlineStr">
        <is>
          <t>bug</t>
        </is>
      </c>
      <c r="D4" s="42" t="inlineStr">
        <is>
          <t>major</t>
        </is>
      </c>
      <c r="E4" s="42" t="inlineStr">
        <is>
          <t>TC-34, TC-60</t>
        </is>
      </c>
      <c r="F4" s="42" t="inlineStr">
        <is>
          <t>manual</t>
        </is>
      </c>
      <c r="G4" s="42" t="inlineStr">
        <is>
          <t>Open</t>
        </is>
      </c>
      <c r="H4" s="44" t="inlineStr">
        <is>
          <t>https://github.com/sophiachae/hotel-booking-qa/issues/3</t>
        </is>
      </c>
    </row>
    <row r="5" ht="29.85" customHeight="1" s="25">
      <c r="A5" s="42" t="inlineStr">
        <is>
          <t>#4</t>
        </is>
      </c>
      <c r="B5" s="43" t="inlineStr">
        <is>
          <t>[예약] 이름은 영문 입력이 가능하나 전화번호는 국내 형식만 허용되어 해외 사용자 예약 불가</t>
        </is>
      </c>
      <c r="C5" s="42" t="inlineStr">
        <is>
          <t>enhancement</t>
        </is>
      </c>
      <c r="D5" s="42" t="inlineStr">
        <is>
          <t>-</t>
        </is>
      </c>
      <c r="E5" s="42" t="inlineStr">
        <is>
          <t>TC-33</t>
        </is>
      </c>
      <c r="F5" s="42" t="inlineStr">
        <is>
          <t>manual</t>
        </is>
      </c>
      <c r="G5" s="42" t="inlineStr">
        <is>
          <t>Open</t>
        </is>
      </c>
      <c r="H5" s="44" t="inlineStr">
        <is>
          <t>https://github.com/sophiachae/hotel-booking-qa/issues/4</t>
        </is>
      </c>
    </row>
    <row r="6" ht="29.85" customHeight="1" s="25">
      <c r="A6" s="42" t="inlineStr">
        <is>
          <t>#5</t>
        </is>
      </c>
      <c r="B6" s="43" t="inlineStr">
        <is>
          <t>[예약] 가운데 자리가 3자리인 전화번호(010-123-4567)가 서버 검증을 통과해 예약됨</t>
        </is>
      </c>
      <c r="C6" s="42" t="inlineStr">
        <is>
          <t>bug</t>
        </is>
      </c>
      <c r="D6" s="42" t="inlineStr">
        <is>
          <t>minor</t>
        </is>
      </c>
      <c r="E6" s="42" t="inlineStr">
        <is>
          <t>TC-23, TC-72</t>
        </is>
      </c>
      <c r="F6" s="42" t="inlineStr">
        <is>
          <t>automation</t>
        </is>
      </c>
      <c r="G6" s="42" t="inlineStr">
        <is>
          <t>Open</t>
        </is>
      </c>
      <c r="H6" s="44" t="inlineStr">
        <is>
          <t>https://github.com/sophiachae/hotel-booking-qa/issues/5</t>
        </is>
      </c>
    </row>
    <row r="7" ht="29.85" customHeight="1" s="25">
      <c r="A7" s="42" t="inlineStr">
        <is>
          <t>#6</t>
        </is>
      </c>
      <c r="B7" s="43" t="inlineStr">
        <is>
          <t>[예약] 예약 완료 후 뒤로 가기·새로고침 시 안내 없이 입력 화면이 남아 '이미 예약된 객실' 에러로 예약 실패처럼 보임</t>
        </is>
      </c>
      <c r="C7" s="42" t="inlineStr">
        <is>
          <t>enhancement</t>
        </is>
      </c>
      <c r="D7" s="42" t="inlineStr">
        <is>
          <t>-</t>
        </is>
      </c>
      <c r="E7" s="42" t="inlineStr">
        <is>
          <t>TC-36</t>
        </is>
      </c>
      <c r="F7" s="42" t="inlineStr">
        <is>
          <t>manual</t>
        </is>
      </c>
      <c r="G7" s="42" t="inlineStr">
        <is>
          <t>Open</t>
        </is>
      </c>
      <c r="H7" s="44" t="inlineStr">
        <is>
          <t>https://github.com/sophiachae/hotel-booking-qa/issues/6</t>
        </is>
      </c>
    </row>
    <row r="8" ht="29.85" customHeight="1" s="25">
      <c r="A8" s="42" t="inlineStr">
        <is>
          <t>#7</t>
        </is>
      </c>
      <c r="B8" s="43" t="inlineStr">
        <is>
          <t>[예약] 화면은 이메일을 계정 이메일로 고정하지만 서버는 다른 이메일로 회원 예약을 저장함 (UI 우회)</t>
        </is>
      </c>
      <c r="C8" s="42" t="inlineStr">
        <is>
          <t>bug</t>
        </is>
      </c>
      <c r="D8" s="42" t="inlineStr">
        <is>
          <t>major</t>
        </is>
      </c>
      <c r="E8" s="42" t="inlineStr">
        <is>
          <t>TC-65</t>
        </is>
      </c>
      <c r="F8" s="42" t="inlineStr">
        <is>
          <t>automation</t>
        </is>
      </c>
      <c r="G8" s="42" t="inlineStr">
        <is>
          <t>Open</t>
        </is>
      </c>
      <c r="H8" s="44" t="inlineStr">
        <is>
          <t>https://github.com/sophiachae/hotel-booking-qa/issues/7</t>
        </is>
      </c>
    </row>
    <row r="9" ht="29.85" customHeight="1" s="25">
      <c r="A9" s="42" t="inlineStr">
        <is>
          <t>#8</t>
        </is>
      </c>
      <c r="B9" s="43" t="inlineStr">
        <is>
          <t>[예약] 예약 입력 중 세션이 만료되면 안내 없이 비회원 예약으로 저장되어 회원 예약 목록에서 사라짐 (needs-spec)</t>
        </is>
      </c>
      <c r="C9" s="42" t="inlineStr">
        <is>
          <t>bug</t>
        </is>
      </c>
      <c r="D9" s="42" t="inlineStr">
        <is>
          <t>major</t>
        </is>
      </c>
      <c r="E9" s="42" t="inlineStr">
        <is>
          <t>TC-64</t>
        </is>
      </c>
      <c r="F9" s="42" t="inlineStr">
        <is>
          <t>automation</t>
        </is>
      </c>
      <c r="G9" s="42" t="inlineStr">
        <is>
          <t>Open</t>
        </is>
      </c>
      <c r="H9" s="44" t="inlineStr">
        <is>
          <t>https://github.com/sophiachae/hotel-booking-qa/issues/8</t>
        </is>
      </c>
    </row>
    <row r="10" ht="29.85" customHeight="1" s="25">
      <c r="A10" s="42" t="inlineStr">
        <is>
          <t>#9</t>
        </is>
      </c>
      <c r="B10" s="43" t="inlineStr">
        <is>
          <t>[로그인] 로그인 실패 횟수 제한이 없음 (정책 확인 필요)</t>
        </is>
      </c>
      <c r="C10" s="42" t="inlineStr">
        <is>
          <t>enhancement</t>
        </is>
      </c>
      <c r="D10" s="42" t="inlineStr">
        <is>
          <t>-</t>
        </is>
      </c>
      <c r="E10" s="42" t="inlineStr">
        <is>
          <t>TC-67</t>
        </is>
      </c>
      <c r="F10" s="42" t="inlineStr">
        <is>
          <t>automation</t>
        </is>
      </c>
      <c r="G10" s="42" t="inlineStr">
        <is>
          <t>Open</t>
        </is>
      </c>
      <c r="H10" s="44" t="inlineStr">
        <is>
          <t>https://github.com/sophiachae/hotel-booking-qa/issues/9</t>
        </is>
      </c>
    </row>
    <row r="11" ht="29.85" customHeight="1" s="25">
      <c r="A11" s="42" t="inlineStr">
        <is>
          <t>#10</t>
        </is>
      </c>
      <c r="B11" s="43" t="inlineStr">
        <is>
          <t>[인증] 소셜 로그인 취소(error) 콜백에서 state를 검증하지 않음</t>
        </is>
      </c>
      <c r="C11" s="42" t="inlineStr">
        <is>
          <t>bug</t>
        </is>
      </c>
      <c r="D11" s="42" t="inlineStr">
        <is>
          <t>minor</t>
        </is>
      </c>
      <c r="E11" s="42" t="inlineStr">
        <is>
          <t>TC-68</t>
        </is>
      </c>
      <c r="F11" s="42" t="inlineStr">
        <is>
          <t>manual</t>
        </is>
      </c>
      <c r="G11" s="42" t="inlineStr">
        <is>
          <t>Open</t>
        </is>
      </c>
      <c r="H11" s="44" t="inlineStr">
        <is>
          <t>https://github.com/sophiachae/hotel-booking-qa/issues/10</t>
        </is>
      </c>
    </row>
    <row r="12" ht="29.85" customHeight="1" s="25">
      <c r="A12" s="42" t="inlineStr">
        <is>
          <t>#12</t>
        </is>
      </c>
      <c r="B12" s="43" t="inlineStr">
        <is>
          <t>[인증] 로그아웃 후 뒤로 가기 시 캐시된 회원 화면에 개인정보가 그대로 노출됨</t>
        </is>
      </c>
      <c r="C12" s="42" t="inlineStr">
        <is>
          <t>enhancement</t>
        </is>
      </c>
      <c r="D12" s="42" t="inlineStr">
        <is>
          <t>-</t>
        </is>
      </c>
      <c r="E12" s="42" t="inlineStr">
        <is>
          <t>TC-66</t>
        </is>
      </c>
      <c r="F12" s="42" t="inlineStr">
        <is>
          <t>manual</t>
        </is>
      </c>
      <c r="G12" s="42" t="inlineStr">
        <is>
          <t>Open</t>
        </is>
      </c>
      <c r="H12" s="44" t="inlineStr">
        <is>
          <t>https://github.com/sophiachae/hotel-booking-qa/issues/12</t>
        </is>
      </c>
    </row>
    <row r="13">
      <c r="A13" s="42" t="inlineStr">
        <is>
          <t>#13</t>
        </is>
      </c>
      <c r="B13" s="43" t="inlineStr">
        <is>
          <t>[인증] 회원가입 성공 후 안내 없이 이동해 가입·로그인 여부를 알기 어려움</t>
        </is>
      </c>
      <c r="C13" s="42" t="inlineStr">
        <is>
          <t>enhancement</t>
        </is>
      </c>
      <c r="D13" s="42" t="inlineStr">
        <is>
          <t>-</t>
        </is>
      </c>
      <c r="E13" s="42" t="inlineStr">
        <is>
          <t>TC-39</t>
        </is>
      </c>
      <c r="F13" s="42" t="inlineStr">
        <is>
          <t>manual</t>
        </is>
      </c>
      <c r="G13" s="42" t="inlineStr">
        <is>
          <t>Open</t>
        </is>
      </c>
      <c r="H13" s="44" t="inlineStr">
        <is>
          <t>https://github.com/sophiachae/hotel-booking-qa/issues/13</t>
        </is>
      </c>
    </row>
    <row r="14">
      <c r="A14" s="42" t="inlineStr">
        <is>
          <t>#14</t>
        </is>
      </c>
      <c r="B14" s="43" t="inlineStr">
        <is>
          <t>[인증] 비밀번호 앞 공백이 그대로 저장되어 공백 없이 입력하면 로그인되지 않음 (정책 확인 필요)</t>
        </is>
      </c>
      <c r="C14" s="42" t="inlineStr">
        <is>
          <t>enhancement</t>
        </is>
      </c>
      <c r="D14" s="42" t="inlineStr">
        <is>
          <t>-</t>
        </is>
      </c>
      <c r="E14" s="42" t="inlineStr">
        <is>
          <t>TC-73</t>
        </is>
      </c>
      <c r="F14" s="42" t="inlineStr">
        <is>
          <t>automation</t>
        </is>
      </c>
      <c r="G14" s="42" t="inlineStr">
        <is>
          <t>Open</t>
        </is>
      </c>
      <c r="H14" s="44" t="inlineStr">
        <is>
          <t>https://github.com/sophiachae/hotel-booking-qa/issues/14</t>
        </is>
      </c>
    </row>
    <row r="15">
      <c r="A15" s="42" t="inlineStr">
        <is>
          <t>#15</t>
        </is>
      </c>
      <c r="B15" s="43" t="inlineStr">
        <is>
          <t>[인증] 소셜로 가입한 계정으로 이메일 로그인하면 일반 실패 문구만 나와 로그인 방법을 알기 어려움</t>
        </is>
      </c>
      <c r="C15" s="42" t="inlineStr">
        <is>
          <t>enhancement</t>
        </is>
      </c>
      <c r="D15" s="42" t="inlineStr">
        <is>
          <t>-</t>
        </is>
      </c>
      <c r="E15" s="42" t="inlineStr">
        <is>
          <t>TC-77</t>
        </is>
      </c>
      <c r="F15" s="42" t="inlineStr">
        <is>
          <t>manual</t>
        </is>
      </c>
      <c r="G15" s="42" t="inlineStr">
        <is>
          <t>Open</t>
        </is>
      </c>
      <c r="H15" s="44" t="inlineStr">
        <is>
          <t>https://github.com/sophiachae/hotel-booking-qa/issues/15</t>
        </is>
      </c>
    </row>
  </sheetData>
  <hyperlinks>
    <hyperlink xmlns:r="http://schemas.openxmlformats.org/officeDocument/2006/relationships" ref="H2" display="https://github.com/sophiachae/hotel-booking-qa/issues/1" r:id="rId1"/>
    <hyperlink xmlns:r="http://schemas.openxmlformats.org/officeDocument/2006/relationships" ref="H3" display="https://github.com/sophiachae/hotel-booking-qa/issues/2" r:id="rId2"/>
    <hyperlink xmlns:r="http://schemas.openxmlformats.org/officeDocument/2006/relationships" ref="H4" display="https://github.com/sophiachae/hotel-booking-qa/issues/3" r:id="rId3"/>
    <hyperlink xmlns:r="http://schemas.openxmlformats.org/officeDocument/2006/relationships" ref="H5" display="https://github.com/sophiachae/hotel-booking-qa/issues/4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24" min="1" max="1"/>
    <col width="90" customWidth="1" style="24" min="2" max="2"/>
  </cols>
  <sheetData>
    <row r="1" ht="17.15" customHeight="1" s="25">
      <c r="A1" s="27" t="inlineStr">
        <is>
          <t>항목</t>
        </is>
      </c>
      <c r="B1" s="27" t="inlineStr">
        <is>
          <t>설명</t>
        </is>
      </c>
    </row>
    <row r="2" ht="15" customHeight="1" s="25">
      <c r="A2" s="45" t="inlineStr">
        <is>
          <t>출처</t>
        </is>
      </c>
      <c r="B2" s="46" t="inlineStr">
        <is>
          <t>AI = AI 생성 원본 그대로 / AI수정 = QA가 절차·기대결과를 재작성 / QA추가 = AI가 누락하여 QA가 추가</t>
        </is>
      </c>
    </row>
    <row r="3" ht="15" customHeight="1" s="25">
      <c r="A3" s="45" t="inlineStr">
        <is>
          <t>실행결과</t>
        </is>
      </c>
      <c r="B3" s="46" t="inlineStr">
        <is>
          <t>Pass / Fail / 확인필요(정책 확인 요청) / 미실행</t>
        </is>
      </c>
    </row>
    <row r="4" ht="15" customHeight="1" s="25">
      <c r="A4" s="47" t="inlineStr">
        <is>
          <t>AI 원문 절차</t>
        </is>
      </c>
      <c r="B4" s="46" t="inlineStr">
        <is>
          <t>AI수정 TC의 수정 전 절차. 리뷰 근거로 보존</t>
        </is>
      </c>
    </row>
    <row r="5" ht="15" customHeight="1" s="25">
      <c r="A5" s="47" t="inlineStr">
        <is>
          <t>D</t>
        </is>
      </c>
      <c r="B5" s="46" t="inlineStr">
        <is>
          <t>AI 원문 표기. 테스트 실행일(오늘). D+n = n일 뒤 날짜</t>
        </is>
      </c>
    </row>
    <row r="6" ht="15" customHeight="1" s="25">
      <c r="A6" s="45" t="inlineStr">
        <is>
          <t>초기화</t>
        </is>
      </c>
      <c r="B6" s="48" t="inlineStr">
        <is>
          <t>서버 종료 → npm run reset → npm start. 샘플 데이터만 있고 예약 0건인 상태</t>
        </is>
      </c>
    </row>
    <row r="7" ht="15" customHeight="1" s="25">
      <c r="A7" s="47" t="inlineStr">
        <is>
          <t>R1</t>
        </is>
      </c>
      <c r="B7" s="46" t="inlineStr">
        <is>
          <t>AI 원문 표기. 객실 1(서울 그랜드 / 스탠다드 더블 / 120,000원), D+30~D+32, 2명으로 만든 예약</t>
        </is>
      </c>
    </row>
    <row r="8" ht="15" customHeight="1" s="25">
      <c r="A8" s="45" t="inlineStr">
        <is>
          <t>테스트 데이터</t>
        </is>
      </c>
      <c r="B8" s="48" t="inlineStr">
        <is>
          <t>실제 개인정보 대신 테스트용 이름·이메일·전화번호 사용</t>
        </is>
      </c>
    </row>
    <row r="9" ht="15" customHeight="1" s="25">
      <c r="A9" s="45" t="inlineStr">
        <is>
          <t>실행 환경</t>
        </is>
      </c>
      <c r="B9" s="46" t="inlineStr">
        <is>
          <t>macOS / Chrome / localhost:3000 / 2026-10-07 ~ 10-08 (수동)
자동화: Playwright 1.64 / Chromium / localhost:3100 (전용 DB) / 2026-10-10</t>
        </is>
      </c>
    </row>
    <row r="10" ht="15" customHeight="1" s="25">
      <c r="A10" s="45" t="inlineStr">
        <is>
          <t>가정 (TC-02)</t>
        </is>
      </c>
      <c r="B10" s="46" t="inlineStr">
        <is>
          <t>minPrice는 '인원 조건을 충족하는 객실 중 최저가'로 해석. 명세에 없어 실제 동작이 다르면 판단 필요</t>
        </is>
      </c>
    </row>
    <row r="11" ht="15" customHeight="1" s="25">
      <c r="A11" s="45" t="inlineStr">
        <is>
          <t>출처 문서</t>
        </is>
      </c>
      <c r="B11" s="46" t="inlineStr">
        <is>
          <t>README.md(미니 호텔 예약 웹앱 기능 명세)를 LLM에 입력해 TC 30건 생성 후 QA 리뷰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2026-10-08T07:58:55Z</dcterms:created>
  <dcterms:modified xsi:type="dcterms:W3CDTF">2026-10-13T07:33:38Z</dcterms:modified>
  <cp:revision>0</cp:revision>
</cp:coreProperties>
</file>