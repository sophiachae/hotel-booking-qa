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테스트케이스" sheetId="1" state="visible" r:id="rId3"/>
    <sheet name="AI 리뷰 요약" sheetId="2" state="visible" r:id="rId4"/>
    <sheet name="결함 목록" sheetId="3" state="visible" r:id="rId5"/>
    <sheet name="공통 표기" sheetId="4" state="visible" r:id="rId6"/>
  </sheets>
  <definedNames>
    <definedName function="false" hidden="true" localSheetId="0" name="_xlnm._FilterDatabase" vbProcedure="false">테스트케이스!$A$1:$O$39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<sst xmlns="http://schemas.openxmlformats.org/spreadsheetml/2006/main" count="559" uniqueCount="310">
  <si>
    <t xml:space="preserve">ID</t>
  </si>
  <si>
    <t xml:space="preserve">출처</t>
  </si>
  <si>
    <t xml:space="preserve">영역</t>
  </si>
  <si>
    <t xml:space="preserve">유형</t>
  </si>
  <si>
    <t xml:space="preserve">시나리오</t>
  </si>
  <si>
    <r>
      <rPr>
        <b val="true"/>
        <sz val="11"/>
        <color rgb="FFFFFFFF"/>
        <rFont val="Noto Sans CJK SC"/>
        <family val="2"/>
      </rPr>
      <t xml:space="preserve">사전조건</t>
    </r>
    <r>
      <rPr>
        <b val="true"/>
        <sz val="11"/>
        <color rgb="FFFFFFFF"/>
        <rFont val="맑은 고딕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정책</t>
    </r>
    <r>
      <rPr>
        <b val="true"/>
        <sz val="11"/>
        <color rgb="FFFFFFFF"/>
        <rFont val="맑은 고딕"/>
        <family val="0"/>
        <charset val="1"/>
      </rPr>
      <t xml:space="preserve">)</t>
    </r>
  </si>
  <si>
    <t xml:space="preserve">테스트 절차</t>
  </si>
  <si>
    <t xml:space="preserve">기대결과</t>
  </si>
  <si>
    <t xml:space="preserve">실제 결과</t>
  </si>
  <si>
    <t xml:space="preserve">실행결과</t>
  </si>
  <si>
    <t xml:space="preserve">실행일</t>
  </si>
  <si>
    <r>
      <rPr>
        <b val="true"/>
        <sz val="11"/>
        <color rgb="FFFFFFFF"/>
        <rFont val="Noto Sans CJK SC"/>
        <family val="2"/>
      </rPr>
      <t xml:space="preserve">결함 </t>
    </r>
    <r>
      <rPr>
        <b val="true"/>
        <sz val="11"/>
        <color rgb="FFFFFFFF"/>
        <rFont val="맑은 고딕"/>
        <family val="0"/>
        <charset val="1"/>
      </rPr>
      <t xml:space="preserve">ID</t>
    </r>
  </si>
  <si>
    <t xml:space="preserve">리뷰 메모</t>
  </si>
  <si>
    <t xml:space="preserve">우선순위</t>
  </si>
  <si>
    <r>
      <rPr>
        <b val="true"/>
        <sz val="11"/>
        <color rgb="FFFFFFFF"/>
        <rFont val="맑은 고딕"/>
        <family val="0"/>
        <charset val="1"/>
      </rPr>
      <t xml:space="preserve">AI </t>
    </r>
    <r>
      <rPr>
        <b val="true"/>
        <sz val="11"/>
        <color rgb="FFFFFFFF"/>
        <rFont val="Noto Sans CJK SC"/>
        <family val="2"/>
      </rPr>
      <t xml:space="preserve">원문 절차</t>
    </r>
    <r>
      <rPr>
        <b val="true"/>
        <sz val="11"/>
        <color rgb="FFFFFFFF"/>
        <rFont val="맑은 고딕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수정 전</t>
    </r>
    <r>
      <rPr>
        <b val="true"/>
        <sz val="11"/>
        <color rgb="FFFFFFFF"/>
        <rFont val="맑은 고딕"/>
        <family val="0"/>
        <charset val="1"/>
      </rPr>
      <t xml:space="preserve">)</t>
    </r>
  </si>
  <si>
    <t xml:space="preserve">TC-01</t>
  </si>
  <si>
    <r>
      <rPr>
        <sz val="10"/>
        <rFont val="맑은 고딕"/>
        <family val="0"/>
        <charset val="1"/>
      </rPr>
      <t xml:space="preserve">AI</t>
    </r>
    <r>
      <rPr>
        <sz val="10"/>
        <rFont val="Noto Sans CJK SC"/>
        <family val="2"/>
      </rPr>
      <t xml:space="preserve">수정</t>
    </r>
  </si>
  <si>
    <t xml:space="preserve">UI</t>
  </si>
  <si>
    <t xml:space="preserve">정상</t>
  </si>
  <si>
    <t xml:space="preserve">서울 호텔 검색</t>
  </si>
  <si>
    <t xml:space="preserve">초기화</t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</si>
  <si>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홈 접속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도시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서울 선택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체크인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오늘</t>
    </r>
    <r>
      <rPr>
        <sz val="10"/>
        <rFont val="맑은 고딕"/>
        <family val="0"/>
        <charset val="1"/>
      </rPr>
      <t xml:space="preserve">+30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체크아웃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오늘</t>
    </r>
    <r>
      <rPr>
        <sz val="10"/>
        <rFont val="맑은 고딕"/>
        <family val="0"/>
        <charset val="1"/>
      </rPr>
      <t xml:space="preserve">+32</t>
    </r>
    <r>
      <rPr>
        <sz val="10"/>
        <rFont val="Noto Sans CJK SC"/>
        <family val="2"/>
      </rPr>
      <t xml:space="preserve">일 </t>
    </r>
    <r>
      <rPr>
        <sz val="10"/>
        <rFont val="맑은 고딕"/>
        <family val="0"/>
        <charset val="1"/>
      </rPr>
      <t xml:space="preserve">(2</t>
    </r>
    <r>
      <rPr>
        <sz val="10"/>
        <rFont val="Noto Sans CJK SC"/>
        <family val="2"/>
      </rPr>
      <t xml:space="preserve">박</t>
    </r>
    <r>
      <rPr>
        <sz val="10"/>
        <rFont val="맑은 고딕"/>
        <family val="0"/>
        <charset val="1"/>
      </rPr>
      <t xml:space="preserve">)
4. </t>
    </r>
    <r>
      <rPr>
        <sz val="10"/>
        <rFont val="Noto Sans CJK SC"/>
        <family val="2"/>
      </rPr>
      <t xml:space="preserve">인원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명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호텔 검색 클릭</t>
    </r>
  </si>
  <si>
    <r>
      <rPr>
        <sz val="10"/>
        <rFont val="Noto Sans CJK SC"/>
        <family val="2"/>
      </rPr>
      <t xml:space="preserve">검색 결과에 서울 호텔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 노출
</t>
    </r>
    <r>
      <rPr>
        <sz val="10"/>
        <rFont val="맑은 고딕"/>
        <family val="0"/>
        <charset val="1"/>
      </rPr>
      <t xml:space="preserve">- </t>
    </r>
    <r>
      <rPr>
        <sz val="10"/>
        <rFont val="Noto Sans CJK SC"/>
        <family val="2"/>
      </rPr>
      <t xml:space="preserve">서울 그랜드 호텔</t>
    </r>
    <r>
      <rPr>
        <sz val="10"/>
        <rFont val="맑은 고딕"/>
        <family val="0"/>
        <charset val="1"/>
      </rPr>
      <t xml:space="preserve">: 1</t>
    </r>
    <r>
      <rPr>
        <sz val="10"/>
        <rFont val="Noto Sans CJK SC"/>
        <family val="2"/>
      </rPr>
      <t xml:space="preserve">박 최저 </t>
    </r>
    <r>
      <rPr>
        <sz val="10"/>
        <rFont val="맑은 고딕"/>
        <family val="0"/>
        <charset val="1"/>
      </rPr>
      <t xml:space="preserve">120,000</t>
    </r>
    <r>
      <rPr>
        <sz val="10"/>
        <rFont val="Noto Sans CJK SC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예약 가능 객실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개
</t>
    </r>
    <r>
      <rPr>
        <sz val="10"/>
        <rFont val="맑은 고딕"/>
        <family val="0"/>
        <charset val="1"/>
      </rPr>
      <t xml:space="preserve">- </t>
    </r>
    <r>
      <rPr>
        <sz val="10"/>
        <rFont val="Noto Sans CJK SC"/>
        <family val="2"/>
      </rPr>
      <t xml:space="preserve">두 번째 호텔</t>
    </r>
    <r>
      <rPr>
        <sz val="10"/>
        <rFont val="맑은 고딕"/>
        <family val="0"/>
        <charset val="1"/>
      </rPr>
      <t xml:space="preserve">: 1</t>
    </r>
    <r>
      <rPr>
        <sz val="10"/>
        <rFont val="Noto Sans CJK SC"/>
        <family val="2"/>
      </rPr>
      <t xml:space="preserve">박 최저 </t>
    </r>
    <r>
      <rPr>
        <sz val="10"/>
        <rFont val="맑은 고딕"/>
        <family val="0"/>
        <charset val="1"/>
      </rPr>
      <t xml:space="preserve">95,000</t>
    </r>
    <r>
      <rPr>
        <sz val="10"/>
        <rFont val="Noto Sans CJK SC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예약 가능 객실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</t>
    </r>
  </si>
  <si>
    <t xml:space="preserve">미실행</t>
  </si>
  <si>
    <r>
      <rPr>
        <sz val="10"/>
        <rFont val="맑은 고딕"/>
        <family val="0"/>
        <charset val="1"/>
      </rPr>
      <t xml:space="preserve">'D+30' </t>
    </r>
    <r>
      <rPr>
        <sz val="10"/>
        <rFont val="Noto Sans CJK SC"/>
        <family val="2"/>
      </rPr>
      <t xml:space="preserve">표기가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최대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박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 오해될 수 있음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리뷰 중 실제로 혼동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실행자가 바로 이해할 수 있게 실제 날짜 또는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오늘</t>
    </r>
    <r>
      <rPr>
        <sz val="10"/>
        <rFont val="맑은 고딕"/>
        <family val="0"/>
        <charset val="1"/>
      </rPr>
      <t xml:space="preserve">+n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표기 권장</t>
    </r>
  </si>
  <si>
    <t xml:space="preserve">High</t>
  </si>
  <si>
    <r>
      <rPr>
        <sz val="9"/>
        <color rgb="FF888888"/>
        <rFont val="맑은 고딕"/>
        <family val="0"/>
        <charset val="1"/>
      </rPr>
      <t xml:space="preserve">① index.html </t>
    </r>
    <r>
      <rPr>
        <sz val="9"/>
        <color rgb="FF888888"/>
        <rFont val="Noto Sans CJK SC"/>
        <family val="2"/>
      </rPr>
      <t xml:space="preserve">접속
② </t>
    </r>
    <r>
      <rPr>
        <sz val="9"/>
        <color rgb="FF888888"/>
        <rFont val="맑은 고딕"/>
        <family val="0"/>
        <charset val="1"/>
      </rPr>
      <t xml:space="preserve">search-city=</t>
    </r>
    <r>
      <rPr>
        <sz val="9"/>
        <color rgb="FF888888"/>
        <rFont val="Noto Sans CJK SC"/>
        <family val="2"/>
      </rPr>
      <t xml:space="preserve">서울</t>
    </r>
    <r>
      <rPr>
        <sz val="9"/>
        <color rgb="FF888888"/>
        <rFont val="맑은 고딕"/>
        <family val="0"/>
        <charset val="1"/>
      </rPr>
      <t xml:space="preserve">, checkin D+30, checkout D+32, guests 2
③ search-submit </t>
    </r>
    <r>
      <rPr>
        <sz val="9"/>
        <color rgb="FF888888"/>
        <rFont val="Noto Sans CJK SC"/>
        <family val="2"/>
      </rPr>
      <t xml:space="preserve">클릭</t>
    </r>
  </si>
  <si>
    <t xml:space="preserve">TC-02</t>
  </si>
  <si>
    <t xml:space="preserve">AI</t>
  </si>
  <si>
    <t xml:space="preserve">API</t>
  </si>
  <si>
    <t xml:space="preserve">인원 조건 필터링</t>
  </si>
  <si>
    <r>
      <rPr>
        <sz val="10"/>
        <rFont val="맑은 고딕"/>
        <family val="0"/>
        <charset val="1"/>
      </rPr>
      <t xml:space="preserve">GET /api/hotels?city=</t>
    </r>
    <r>
      <rPr>
        <sz val="10"/>
        <rFont val="Noto Sans CJK SC"/>
        <family val="2"/>
      </rPr>
      <t xml:space="preserve">부산</t>
    </r>
    <r>
      <rPr>
        <sz val="10"/>
        <rFont val="맑은 고딕"/>
        <family val="0"/>
        <charset val="1"/>
      </rPr>
      <t xml:space="preserve">&amp;checkIn=D+30&amp;checkOut=D+32&amp;guests=5</t>
    </r>
  </si>
  <si>
    <r>
      <rPr>
        <sz val="10"/>
        <rFont val="맑은 고딕"/>
        <family val="0"/>
        <charset val="1"/>
      </rPr>
      <t xml:space="preserve">200, </t>
    </r>
    <r>
      <rPr>
        <sz val="10"/>
        <rFont val="Noto Sans CJK SC"/>
        <family val="2"/>
      </rPr>
      <t xml:space="preserve">배열 길이 </t>
    </r>
    <r>
      <rPr>
        <sz val="10"/>
        <rFont val="맑은 고딕"/>
        <family val="0"/>
        <charset val="1"/>
      </rPr>
      <t xml:space="preserve">1, id=3, availableRooms=1, minPrice=450000. </t>
    </r>
    <r>
      <rPr>
        <sz val="10"/>
        <rFont val="Noto Sans CJK SC"/>
        <family val="2"/>
      </rPr>
      <t xml:space="preserve">호텔 </t>
    </r>
    <r>
      <rPr>
        <sz val="10"/>
        <rFont val="맑은 고딕"/>
        <family val="0"/>
        <charset val="1"/>
      </rPr>
      <t xml:space="preserve">4(</t>
    </r>
    <r>
      <rPr>
        <sz val="10"/>
        <rFont val="Noto Sans CJK SC"/>
        <family val="2"/>
      </rPr>
      <t xml:space="preserve">최대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인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는 미포함</t>
    </r>
  </si>
  <si>
    <r>
      <rPr>
        <sz val="10"/>
        <rFont val="맑은 고딕"/>
        <family val="0"/>
        <charset val="1"/>
      </rPr>
      <t xml:space="preserve">API </t>
    </r>
    <r>
      <rPr>
        <sz val="10"/>
        <rFont val="Noto Sans CJK SC"/>
        <family val="2"/>
      </rPr>
      <t xml:space="preserve">직접 호출 필요</t>
    </r>
    <r>
      <rPr>
        <sz val="10"/>
        <rFont val="맑은 고딕"/>
        <family val="0"/>
        <charset val="1"/>
      </rPr>
      <t xml:space="preserve">. Postman </t>
    </r>
    <r>
      <rPr>
        <sz val="10"/>
        <rFont val="Noto Sans CJK SC"/>
        <family val="2"/>
      </rPr>
      <t xml:space="preserve">단계에서 실행 예정</t>
    </r>
  </si>
  <si>
    <t xml:space="preserve">TC-03</t>
  </si>
  <si>
    <t xml:space="preserve">경계</t>
  </si>
  <si>
    <r>
      <rPr>
        <sz val="10"/>
        <rFont val="맑은 고딕"/>
        <family val="0"/>
        <charset val="1"/>
      </rPr>
      <t xml:space="preserve">guests </t>
    </r>
    <r>
      <rPr>
        <sz val="10"/>
        <rFont val="Noto Sans CJK SC"/>
        <family val="2"/>
      </rPr>
      <t xml:space="preserve">최솟값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최댓값 허용</t>
    </r>
  </si>
  <si>
    <r>
      <rPr>
        <sz val="10"/>
        <rFont val="맑은 고딕"/>
        <family val="0"/>
        <charset val="1"/>
      </rPr>
      <t xml:space="preserve">guests=1, guests=10</t>
    </r>
    <r>
      <rPr>
        <sz val="10"/>
        <rFont val="Noto Sans CJK SC"/>
        <family val="2"/>
      </rPr>
      <t xml:space="preserve">으로 각각 </t>
    </r>
    <r>
      <rPr>
        <sz val="10"/>
        <rFont val="맑은 고딕"/>
        <family val="0"/>
        <charset val="1"/>
      </rPr>
      <t xml:space="preserve">GET /api/hotels (</t>
    </r>
    <r>
      <rPr>
        <sz val="10"/>
        <rFont val="Noto Sans CJK SC"/>
        <family val="2"/>
      </rPr>
      <t xml:space="preserve">서울</t>
    </r>
    <r>
      <rPr>
        <sz val="10"/>
        <rFont val="맑은 고딕"/>
        <family val="0"/>
        <charset val="1"/>
      </rPr>
      <t xml:space="preserve">, D+30~D+32)</t>
    </r>
  </si>
  <si>
    <r>
      <rPr>
        <sz val="10"/>
        <rFont val="맑은 고딕"/>
        <family val="0"/>
        <charset val="1"/>
      </rPr>
      <t xml:space="preserve">guests=1: 200, </t>
    </r>
    <r>
      <rPr>
        <sz val="10"/>
        <rFont val="Noto Sans CJK SC"/>
        <family val="2"/>
      </rPr>
      <t xml:space="preserve">호텔 </t>
    </r>
    <r>
      <rPr>
        <sz val="10"/>
        <rFont val="맑은 고딕"/>
        <family val="0"/>
        <charset val="1"/>
      </rPr>
      <t xml:space="preserve">1·2 </t>
    </r>
    <r>
      <rPr>
        <sz val="10"/>
        <rFont val="Noto Sans CJK SC"/>
        <family val="2"/>
      </rPr>
      <t xml:space="preserve">반환</t>
    </r>
    <r>
      <rPr>
        <sz val="10"/>
        <rFont val="맑은 고딕"/>
        <family val="0"/>
        <charset val="1"/>
      </rPr>
      <t xml:space="preserve">. guests=10: 200, [] (</t>
    </r>
    <r>
      <rPr>
        <sz val="10"/>
        <rFont val="Noto Sans CJK SC"/>
        <family val="2"/>
      </rPr>
      <t xml:space="preserve">수용 가능한 객실 없음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두 경우 모두 </t>
    </r>
    <r>
      <rPr>
        <sz val="10"/>
        <rFont val="맑은 고딕"/>
        <family val="0"/>
        <charset val="1"/>
      </rPr>
      <t xml:space="preserve">400 </t>
    </r>
    <r>
      <rPr>
        <sz val="10"/>
        <rFont val="Noto Sans CJK SC"/>
        <family val="2"/>
      </rPr>
      <t xml:space="preserve">아님</t>
    </r>
  </si>
  <si>
    <t xml:space="preserve">Mid</t>
  </si>
  <si>
    <t xml:space="preserve">TC-04</t>
  </si>
  <si>
    <r>
      <rPr>
        <sz val="10"/>
        <rFont val="Noto Sans CJK SC"/>
        <family val="2"/>
      </rPr>
      <t xml:space="preserve">경계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예외</t>
    </r>
  </si>
  <si>
    <r>
      <rPr>
        <sz val="10"/>
        <rFont val="맑은 고딕"/>
        <family val="0"/>
        <charset val="1"/>
      </rPr>
      <t xml:space="preserve">guests </t>
    </r>
    <r>
      <rPr>
        <sz val="10"/>
        <rFont val="Noto Sans CJK SC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형식 위반</t>
    </r>
  </si>
  <si>
    <r>
      <rPr>
        <sz val="10"/>
        <rFont val="맑은 고딕"/>
        <family val="0"/>
        <charset val="1"/>
      </rPr>
      <t xml:space="preserve">guests=0, 11, 2.5, abc</t>
    </r>
    <r>
      <rPr>
        <sz val="10"/>
        <rFont val="Noto Sans CJK SC"/>
        <family val="2"/>
      </rPr>
      <t xml:space="preserve">로 각각 </t>
    </r>
    <r>
      <rPr>
        <sz val="10"/>
        <rFont val="맑은 고딕"/>
        <family val="0"/>
        <charset val="1"/>
      </rPr>
      <t xml:space="preserve">GET /api/hotels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</si>
  <si>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건 모두 </t>
    </r>
    <r>
      <rPr>
        <sz val="10"/>
        <rFont val="맑은 고딕"/>
        <family val="0"/>
        <charset val="1"/>
      </rPr>
      <t xml:space="preserve">400, error.code=VALIDATION_ERROR, error.details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guests </t>
    </r>
    <r>
      <rPr>
        <sz val="10"/>
        <rFont val="Noto Sans CJK SC"/>
        <family val="2"/>
      </rPr>
      <t xml:space="preserve">키 존재</t>
    </r>
  </si>
  <si>
    <t xml:space="preserve">TC-05</t>
  </si>
  <si>
    <r>
      <rPr>
        <sz val="10"/>
        <rFont val="Noto Sans CJK SC"/>
        <family val="2"/>
      </rPr>
      <t xml:space="preserve">체크인</t>
    </r>
    <r>
      <rPr>
        <sz val="10"/>
        <rFont val="맑은 고딕"/>
        <family val="0"/>
        <charset val="1"/>
      </rPr>
      <t xml:space="preserve">=</t>
    </r>
    <r>
      <rPr>
        <sz val="10"/>
        <rFont val="Noto Sans CJK SC"/>
        <family val="2"/>
      </rPr>
      <t xml:space="preserve">오늘 허용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어제 거부</t>
    </r>
  </si>
  <si>
    <r>
      <rPr>
        <sz val="10"/>
        <rFont val="Noto Sans CJK SC"/>
        <family val="2"/>
      </rPr>
      <t xml:space="preserve">체크인은 오늘부터 가능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정책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</si>
  <si>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① 부산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체크인 오늘</t>
    </r>
    <r>
      <rPr>
        <sz val="10"/>
        <rFont val="맑은 고딕"/>
        <family val="0"/>
        <charset val="1"/>
      </rPr>
      <t xml:space="preserve">(10/8) ~ </t>
    </r>
    <r>
      <rPr>
        <sz val="10"/>
        <rFont val="Noto Sans CJK SC"/>
        <family val="2"/>
      </rPr>
      <t xml:space="preserve">체크아웃 </t>
    </r>
    <r>
      <rPr>
        <sz val="10"/>
        <rFont val="맑은 고딕"/>
        <family val="0"/>
        <charset val="1"/>
      </rPr>
      <t xml:space="preserve">10/9 / 2</t>
    </r>
    <r>
      <rPr>
        <sz val="10"/>
        <rFont val="Noto Sans CJK SC"/>
        <family val="2"/>
      </rPr>
      <t xml:space="preserve">명 검색
② 부산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체크인 </t>
    </r>
    <r>
      <rPr>
        <sz val="10"/>
        <rFont val="맑은 고딕"/>
        <family val="0"/>
        <charset val="1"/>
      </rPr>
      <t xml:space="preserve">10/6(</t>
    </r>
    <r>
      <rPr>
        <sz val="10"/>
        <rFont val="Noto Sans CJK SC"/>
        <family val="2"/>
      </rPr>
      <t xml:space="preserve">과거</t>
    </r>
    <r>
      <rPr>
        <sz val="10"/>
        <rFont val="맑은 고딕"/>
        <family val="0"/>
        <charset val="1"/>
      </rPr>
      <t xml:space="preserve">) ~ 10/10 / 2</t>
    </r>
    <r>
      <rPr>
        <sz val="10"/>
        <rFont val="Noto Sans CJK SC"/>
        <family val="2"/>
      </rPr>
      <t xml:space="preserve">명 검색</t>
    </r>
  </si>
  <si>
    <r>
      <rPr>
        <sz val="10"/>
        <rFont val="Noto Sans CJK SC"/>
        <family val="2"/>
      </rPr>
      <t xml:space="preserve">① 검색 결과 노출
②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체크인 날짜는 오늘 이후여야 합니다</t>
    </r>
    <r>
      <rPr>
        <sz val="10"/>
        <rFont val="맑은 고딕"/>
        <family val="0"/>
        <charset val="1"/>
      </rPr>
      <t xml:space="preserve">.' </t>
    </r>
    <r>
      <rPr>
        <sz val="10"/>
        <rFont val="Noto Sans CJK SC"/>
        <family val="2"/>
      </rPr>
      <t xml:space="preserve">에러 표시</t>
    </r>
  </si>
  <si>
    <r>
      <rPr>
        <sz val="10"/>
        <rFont val="Noto Sans CJK SC"/>
        <family val="2"/>
      </rPr>
      <t xml:space="preserve">① 호텔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 노출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로그 </t>
    </r>
    <r>
      <rPr>
        <sz val="10"/>
        <rFont val="맑은 고딕"/>
        <family val="0"/>
        <charset val="1"/>
      </rPr>
      <t xml:space="preserve">GET /api/hotels status=200)
② </t>
    </r>
    <r>
      <rPr>
        <sz val="10"/>
        <rFont val="Noto Sans CJK SC"/>
        <family val="2"/>
      </rPr>
      <t xml:space="preserve">에러 메시지 표시</t>
    </r>
  </si>
  <si>
    <t xml:space="preserve">Pass</t>
  </si>
  <si>
    <t xml:space="preserve">2026-10-08</t>
  </si>
  <si>
    <r>
      <rPr>
        <sz val="10"/>
        <rFont val="맑은 고딕"/>
        <family val="0"/>
        <charset val="1"/>
      </rPr>
      <t xml:space="preserve">API</t>
    </r>
    <r>
      <rPr>
        <sz val="10"/>
        <rFont val="Noto Sans CJK SC"/>
        <family val="2"/>
      </rPr>
      <t xml:space="preserve">로 분류됐으나 </t>
    </r>
    <r>
      <rPr>
        <sz val="10"/>
        <rFont val="맑은 고딕"/>
        <family val="0"/>
        <charset val="1"/>
      </rPr>
      <t xml:space="preserve">UI</t>
    </r>
    <r>
      <rPr>
        <sz val="10"/>
        <rFont val="Noto Sans CJK SC"/>
        <family val="2"/>
      </rPr>
      <t xml:space="preserve">로 재현 가능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에러 문구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오늘 이후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는 오늘 포함 여부가 모호함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실제로는 오늘 허용</t>
    </r>
    <r>
      <rPr>
        <sz val="10"/>
        <rFont val="맑은 고딕"/>
        <family val="0"/>
        <charset val="1"/>
      </rPr>
      <t xml:space="preserve">) → </t>
    </r>
    <r>
      <rPr>
        <sz val="10"/>
        <rFont val="Noto Sans CJK SC"/>
        <family val="2"/>
      </rPr>
      <t xml:space="preserve">문구 개선 제안</t>
    </r>
  </si>
  <si>
    <r>
      <rPr>
        <sz val="9"/>
        <color rgb="FF888888"/>
        <rFont val="맑은 고딕"/>
        <family val="0"/>
        <charset val="1"/>
      </rPr>
      <t xml:space="preserve">① checkIn=D, checkOut=D+1
② checkIn=D-1, checkOut=D+1 (</t>
    </r>
    <r>
      <rPr>
        <sz val="9"/>
        <color rgb="FF888888"/>
        <rFont val="Noto Sans CJK SC"/>
        <family val="2"/>
      </rPr>
      <t xml:space="preserve">서울</t>
    </r>
    <r>
      <rPr>
        <sz val="9"/>
        <color rgb="FF888888"/>
        <rFont val="맑은 고딕"/>
        <family val="0"/>
        <charset val="1"/>
      </rPr>
      <t xml:space="preserve">, 2</t>
    </r>
    <r>
      <rPr>
        <sz val="9"/>
        <color rgb="FF888888"/>
        <rFont val="Noto Sans CJK SC"/>
        <family val="2"/>
      </rPr>
      <t xml:space="preserve">명</t>
    </r>
    <r>
      <rPr>
        <sz val="9"/>
        <color rgb="FF888888"/>
        <rFont val="맑은 고딕"/>
        <family val="0"/>
        <charset val="1"/>
      </rPr>
      <t xml:space="preserve">)</t>
    </r>
  </si>
  <si>
    <t xml:space="preserve">TC-06</t>
  </si>
  <si>
    <r>
      <rPr>
        <sz val="10"/>
        <rFont val="Noto Sans CJK SC"/>
        <family val="2"/>
      </rPr>
      <t xml:space="preserve">체크아웃</t>
    </r>
    <r>
      <rPr>
        <sz val="10"/>
        <rFont val="맑은 고딕"/>
        <family val="0"/>
        <charset val="1"/>
      </rPr>
      <t xml:space="preserve">=</t>
    </r>
    <r>
      <rPr>
        <sz val="10"/>
        <rFont val="Noto Sans CJK SC"/>
        <family val="2"/>
      </rPr>
      <t xml:space="preserve">체크인</t>
    </r>
    <r>
      <rPr>
        <sz val="10"/>
        <rFont val="맑은 고딕"/>
        <family val="0"/>
        <charset val="1"/>
      </rPr>
      <t xml:space="preserve">(0</t>
    </r>
    <r>
      <rPr>
        <sz val="10"/>
        <rFont val="Noto Sans CJK SC"/>
        <family val="2"/>
      </rPr>
      <t xml:space="preserve">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</si>
  <si>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체크아웃은 체크인 다음 날 이후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정책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</si>
  <si>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서울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체크인 </t>
    </r>
    <r>
      <rPr>
        <sz val="10"/>
        <rFont val="맑은 고딕"/>
        <family val="0"/>
        <charset val="1"/>
      </rPr>
      <t xml:space="preserve">12/31 ~ </t>
    </r>
    <r>
      <rPr>
        <sz val="10"/>
        <rFont val="Noto Sans CJK SC"/>
        <family val="2"/>
      </rPr>
      <t xml:space="preserve">체크아웃 </t>
    </r>
    <r>
      <rPr>
        <sz val="10"/>
        <rFont val="맑은 고딕"/>
        <family val="0"/>
        <charset val="1"/>
      </rPr>
      <t xml:space="preserve">12/31 / 2</t>
    </r>
    <r>
      <rPr>
        <sz val="10"/>
        <rFont val="Noto Sans CJK SC"/>
        <family val="2"/>
      </rPr>
      <t xml:space="preserve">명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호텔 검색 클릭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</si>
  <si>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체크아웃 날짜는 체크인 날짜보다 이후여야 합니다</t>
    </r>
    <r>
      <rPr>
        <sz val="10"/>
        <rFont val="맑은 고딕"/>
        <family val="0"/>
        <charset val="1"/>
      </rPr>
      <t xml:space="preserve">.' </t>
    </r>
    <r>
      <rPr>
        <sz val="10"/>
        <rFont val="Noto Sans CJK SC"/>
        <family val="2"/>
      </rPr>
      <t xml:space="preserve">에러 표시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검색 진행 안 됨</t>
    </r>
  </si>
  <si>
    <r>
      <rPr>
        <sz val="10"/>
        <rFont val="Noto Sans CJK SC"/>
        <family val="2"/>
      </rPr>
      <t xml:space="preserve">에러 메시지 표시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서버 로그 없음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화면에서 차단</t>
    </r>
    <r>
      <rPr>
        <sz val="10"/>
        <rFont val="맑은 고딕"/>
        <family val="0"/>
        <charset val="1"/>
      </rPr>
      <t xml:space="preserve">)</t>
    </r>
  </si>
  <si>
    <t xml:space="preserve">2026-10-07</t>
  </si>
  <si>
    <r>
      <rPr>
        <sz val="10"/>
        <rFont val="Noto Sans CJK SC"/>
        <family val="2"/>
      </rPr>
      <t xml:space="preserve">화면에서만 차단되고 서버까지 요청이 가지 않음 → 서버 측 검증은 </t>
    </r>
    <r>
      <rPr>
        <sz val="10"/>
        <rFont val="맑은 고딕"/>
        <family val="0"/>
        <charset val="1"/>
      </rPr>
      <t xml:space="preserve">API </t>
    </r>
    <r>
      <rPr>
        <sz val="10"/>
        <rFont val="Noto Sans CJK SC"/>
        <family val="2"/>
      </rPr>
      <t xml:space="preserve">단계에서 별도 확인 필요</t>
    </r>
  </si>
  <si>
    <r>
      <rPr>
        <sz val="9"/>
        <color rgb="FF888888"/>
        <rFont val="맑은 고딕"/>
        <family val="0"/>
        <charset val="1"/>
      </rPr>
      <t xml:space="preserve">GET /api/hotels?city=</t>
    </r>
    <r>
      <rPr>
        <sz val="9"/>
        <color rgb="FF888888"/>
        <rFont val="Noto Sans CJK SC"/>
        <family val="2"/>
      </rPr>
      <t xml:space="preserve">서울</t>
    </r>
    <r>
      <rPr>
        <sz val="9"/>
        <color rgb="FF888888"/>
        <rFont val="맑은 고딕"/>
        <family val="0"/>
        <charset val="1"/>
      </rPr>
      <t xml:space="preserve">&amp;checkIn=D+30&amp;checkOut=D+30&amp;guests=2</t>
    </r>
  </si>
  <si>
    <t xml:space="preserve">TC-07</t>
  </si>
  <si>
    <r>
      <rPr>
        <sz val="10"/>
        <rFont val="Noto Sans CJK SC"/>
        <family val="2"/>
      </rPr>
      <t xml:space="preserve">최대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박</t>
    </r>
  </si>
  <si>
    <r>
      <rPr>
        <sz val="10"/>
        <rFont val="Noto Sans CJK SC"/>
        <family val="2"/>
      </rPr>
      <t xml:space="preserve">최대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박까지 예약 가능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정책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</si>
  <si>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서울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체크인 </t>
    </r>
    <r>
      <rPr>
        <sz val="10"/>
        <rFont val="맑은 고딕"/>
        <family val="0"/>
        <charset val="1"/>
      </rPr>
      <t xml:space="preserve">2026-12-31 ~ </t>
    </r>
    <r>
      <rPr>
        <sz val="10"/>
        <rFont val="Noto Sans CJK SC"/>
        <family val="2"/>
      </rPr>
      <t xml:space="preserve">체크아웃 </t>
    </r>
    <r>
      <rPr>
        <sz val="10"/>
        <rFont val="맑은 고딕"/>
        <family val="0"/>
        <charset val="1"/>
      </rPr>
      <t xml:space="preserve">2027-01-31 (31</t>
    </r>
    <r>
      <rPr>
        <sz val="10"/>
        <rFont val="Noto Sans CJK SC"/>
        <family val="2"/>
      </rPr>
      <t xml:space="preserve">박</t>
    </r>
    <r>
      <rPr>
        <sz val="10"/>
        <rFont val="맑은 고딕"/>
        <family val="0"/>
        <charset val="1"/>
      </rPr>
      <t xml:space="preserve">) / 2</t>
    </r>
    <r>
      <rPr>
        <sz val="10"/>
        <rFont val="Noto Sans CJK SC"/>
        <family val="2"/>
      </rPr>
      <t xml:space="preserve">명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호텔 검색 클릭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</si>
  <si>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최대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박까지 예약할 수 있습니다</t>
    </r>
    <r>
      <rPr>
        <sz val="10"/>
        <rFont val="맑은 고딕"/>
        <family val="0"/>
        <charset val="1"/>
      </rPr>
      <t xml:space="preserve">.' </t>
    </r>
    <r>
      <rPr>
        <sz val="10"/>
        <rFont val="Noto Sans CJK SC"/>
        <family val="2"/>
      </rPr>
      <t xml:space="preserve">에러 표시</t>
    </r>
  </si>
  <si>
    <r>
      <rPr>
        <sz val="10"/>
        <rFont val="Noto Sans CJK SC"/>
        <family val="2"/>
      </rPr>
      <t xml:space="preserve">검색 결과 화면에서 에러 표시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로그 </t>
    </r>
    <r>
      <rPr>
        <sz val="10"/>
        <rFont val="맑은 고딕"/>
        <family val="0"/>
        <charset val="1"/>
      </rPr>
      <t xml:space="preserve">[ERROR] GET /api/hotels status=400 VALIDATION_ERROR</t>
    </r>
  </si>
  <si>
    <r>
      <rPr>
        <sz val="10"/>
        <rFont val="맑은 고딕"/>
        <family val="0"/>
        <charset val="1"/>
      </rPr>
      <t xml:space="preserve">31</t>
    </r>
    <r>
      <rPr>
        <sz val="10"/>
        <rFont val="Noto Sans CJK SC"/>
        <family val="2"/>
      </rPr>
      <t xml:space="preserve">박 차단만 확인</t>
    </r>
    <r>
      <rPr>
        <sz val="10"/>
        <rFont val="맑은 고딕"/>
        <family val="0"/>
        <charset val="1"/>
      </rPr>
      <t xml:space="preserve">, 30</t>
    </r>
    <r>
      <rPr>
        <sz val="10"/>
        <rFont val="Noto Sans CJK SC"/>
        <family val="2"/>
      </rPr>
      <t xml:space="preserve">박 허용 케이스는 미실행</t>
    </r>
    <r>
      <rPr>
        <sz val="10"/>
        <rFont val="맑은 고딕"/>
        <family val="0"/>
        <charset val="1"/>
      </rPr>
      <t xml:space="preserve">. 0</t>
    </r>
    <r>
      <rPr>
        <sz val="10"/>
        <rFont val="Noto Sans CJK SC"/>
        <family val="2"/>
      </rPr>
      <t xml:space="preserve">박</t>
    </r>
    <r>
      <rPr>
        <sz val="10"/>
        <rFont val="맑은 고딕"/>
        <family val="0"/>
        <charset val="1"/>
      </rPr>
      <t xml:space="preserve">(TC-06)</t>
    </r>
    <r>
      <rPr>
        <sz val="10"/>
        <rFont val="Noto Sans CJK SC"/>
        <family val="2"/>
      </rPr>
      <t xml:space="preserve">은 화면에서</t>
    </r>
    <r>
      <rPr>
        <sz val="10"/>
        <rFont val="맑은 고딕"/>
        <family val="0"/>
        <charset val="1"/>
      </rPr>
      <t xml:space="preserve">, 31</t>
    </r>
    <r>
      <rPr>
        <sz val="10"/>
        <rFont val="Noto Sans CJK SC"/>
        <family val="2"/>
      </rPr>
      <t xml:space="preserve">박은 서버에서 차단되어 검증 위치가 일관되지 않음</t>
    </r>
  </si>
  <si>
    <r>
      <rPr>
        <sz val="9"/>
        <color rgb="FF888888"/>
        <rFont val="맑은 고딕"/>
        <family val="0"/>
        <charset val="1"/>
      </rPr>
      <t xml:space="preserve">① checkIn=D+10, checkOut=D+40(30</t>
    </r>
    <r>
      <rPr>
        <sz val="9"/>
        <color rgb="FF888888"/>
        <rFont val="Noto Sans CJK SC"/>
        <family val="2"/>
      </rPr>
      <t xml:space="preserve">박</t>
    </r>
    <r>
      <rPr>
        <sz val="9"/>
        <color rgb="FF888888"/>
        <rFont val="맑은 고딕"/>
        <family val="0"/>
        <charset val="1"/>
      </rPr>
      <t xml:space="preserve">)
② checkOut=D+41(31</t>
    </r>
    <r>
      <rPr>
        <sz val="9"/>
        <color rgb="FF888888"/>
        <rFont val="Noto Sans CJK SC"/>
        <family val="2"/>
      </rPr>
      <t xml:space="preserve">박</t>
    </r>
    <r>
      <rPr>
        <sz val="9"/>
        <color rgb="FF888888"/>
        <rFont val="맑은 고딕"/>
        <family val="0"/>
        <charset val="1"/>
      </rPr>
      <t xml:space="preserve">)</t>
    </r>
  </si>
  <si>
    <t xml:space="preserve">TC-08</t>
  </si>
  <si>
    <t xml:space="preserve">예외</t>
  </si>
  <si>
    <r>
      <rPr>
        <sz val="10"/>
        <rFont val="Noto Sans CJK SC"/>
        <family val="2"/>
      </rPr>
      <t xml:space="preserve">날짜 형식 오류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존재하지 않는 날짜</t>
    </r>
  </si>
  <si>
    <r>
      <rPr>
        <sz val="10"/>
        <rFont val="맑은 고딕"/>
        <family val="0"/>
        <charset val="1"/>
      </rPr>
      <t xml:space="preserve">checkIn</t>
    </r>
    <r>
      <rPr>
        <sz val="10"/>
        <rFont val="Noto Sans CJK SC"/>
        <family val="2"/>
      </rPr>
      <t xml:space="preserve">을 </t>
    </r>
    <r>
      <rPr>
        <sz val="10"/>
        <rFont val="맑은 고딕"/>
        <family val="0"/>
        <charset val="1"/>
      </rPr>
      <t xml:space="preserve">2027/03/10, 2027-02-29(</t>
    </r>
    <r>
      <rPr>
        <sz val="10"/>
        <rFont val="Noto Sans CJK SC"/>
        <family val="2"/>
      </rPr>
      <t xml:space="preserve">평년</t>
    </r>
    <r>
      <rPr>
        <sz val="10"/>
        <rFont val="맑은 고딕"/>
        <family val="0"/>
        <charset val="1"/>
      </rPr>
      <t xml:space="preserve">), 2027-13-01</t>
    </r>
    <r>
      <rPr>
        <sz val="10"/>
        <rFont val="Noto Sans CJK SC"/>
        <family val="2"/>
      </rPr>
      <t xml:space="preserve">로 각각 요청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</si>
  <si>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건 모두 </t>
    </r>
    <r>
      <rPr>
        <sz val="10"/>
        <rFont val="맑은 고딕"/>
        <family val="0"/>
        <charset val="1"/>
      </rPr>
      <t xml:space="preserve">400 VALIDATION_ERROR, details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checkIn </t>
    </r>
    <r>
      <rPr>
        <sz val="10"/>
        <rFont val="Noto Sans CJK SC"/>
        <family val="2"/>
      </rPr>
      <t xml:space="preserve">키 존재</t>
    </r>
  </si>
  <si>
    <t xml:space="preserve">TC-09</t>
  </si>
  <si>
    <t xml:space="preserve">필수 파라미터 누락</t>
  </si>
  <si>
    <r>
      <rPr>
        <sz val="10"/>
        <rFont val="맑은 고딕"/>
        <family val="0"/>
        <charset val="1"/>
      </rPr>
      <t xml:space="preserve">city </t>
    </r>
    <r>
      <rPr>
        <sz val="10"/>
        <rFont val="Noto Sans CJK SC"/>
        <family val="2"/>
      </rPr>
      <t xml:space="preserve">없이 </t>
    </r>
    <r>
      <rPr>
        <sz val="10"/>
        <rFont val="맑은 고딕"/>
        <family val="0"/>
        <charset val="1"/>
      </rPr>
      <t xml:space="preserve">GET /api/hotels?checkIn=D+30&amp;checkOut=D+32&amp;guests=2</t>
    </r>
  </si>
  <si>
    <r>
      <rPr>
        <sz val="10"/>
        <rFont val="맑은 고딕"/>
        <family val="0"/>
        <charset val="1"/>
      </rPr>
      <t xml:space="preserve">400 VALIDATION_ERROR, details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city </t>
    </r>
    <r>
      <rPr>
        <sz val="10"/>
        <rFont val="Noto Sans CJK SC"/>
        <family val="2"/>
      </rPr>
      <t xml:space="preserve">키 존재</t>
    </r>
    <r>
      <rPr>
        <sz val="10"/>
        <rFont val="맑은 고딕"/>
        <family val="0"/>
        <charset val="1"/>
      </rPr>
      <t xml:space="preserve">. logs/app.log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[ERROR] GET /api/hotels ... status=400 1</t>
    </r>
    <r>
      <rPr>
        <sz val="10"/>
        <rFont val="Noto Sans CJK SC"/>
        <family val="2"/>
      </rPr>
      <t xml:space="preserve">줄 기록</t>
    </r>
  </si>
  <si>
    <t xml:space="preserve">TC-10</t>
  </si>
  <si>
    <t xml:space="preserve">만실 호텔은 검색에서 제외</t>
  </si>
  <si>
    <r>
      <rPr>
        <sz val="10"/>
        <rFont val="Noto Sans CJK SC"/>
        <family val="2"/>
      </rPr>
      <t xml:space="preserve">초기화 후 객실 </t>
    </r>
    <r>
      <rPr>
        <sz val="10"/>
        <rFont val="맑은 고딕"/>
        <family val="0"/>
        <charset val="1"/>
      </rPr>
      <t xml:space="preserve">4, 5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D+30~D+32 </t>
    </r>
    <r>
      <rPr>
        <sz val="10"/>
        <rFont val="Noto Sans CJK SC"/>
        <family val="2"/>
      </rPr>
      <t xml:space="preserve">예약 생성</t>
    </r>
  </si>
  <si>
    <r>
      <rPr>
        <sz val="10"/>
        <rFont val="맑은 고딕"/>
        <family val="0"/>
        <charset val="1"/>
      </rPr>
      <t xml:space="preserve">GET /api/hotels?city=</t>
    </r>
    <r>
      <rPr>
        <sz val="10"/>
        <rFont val="Noto Sans CJK SC"/>
        <family val="2"/>
      </rPr>
      <t xml:space="preserve">서울</t>
    </r>
    <r>
      <rPr>
        <sz val="10"/>
        <rFont val="맑은 고딕"/>
        <family val="0"/>
        <charset val="1"/>
      </rPr>
      <t xml:space="preserve">&amp;checkIn=D+30&amp;checkOut=D+32&amp;guests=2</t>
    </r>
  </si>
  <si>
    <r>
      <rPr>
        <sz val="10"/>
        <rFont val="맑은 고딕"/>
        <family val="0"/>
        <charset val="1"/>
      </rPr>
      <t xml:space="preserve">200, </t>
    </r>
    <r>
      <rPr>
        <sz val="10"/>
        <rFont val="Noto Sans CJK SC"/>
        <family val="2"/>
      </rPr>
      <t xml:space="preserve">배열 길이 </t>
    </r>
    <r>
      <rPr>
        <sz val="10"/>
        <rFont val="맑은 고딕"/>
        <family val="0"/>
        <charset val="1"/>
      </rPr>
      <t xml:space="preserve">1, id=1</t>
    </r>
    <r>
      <rPr>
        <sz val="10"/>
        <rFont val="Noto Sans CJK SC"/>
        <family val="2"/>
      </rPr>
      <t xml:space="preserve">만 포함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호텔 </t>
    </r>
    <r>
      <rPr>
        <sz val="10"/>
        <rFont val="맑은 고딕"/>
        <family val="0"/>
        <charset val="1"/>
      </rPr>
      <t xml:space="preserve">2 </t>
    </r>
    <r>
      <rPr>
        <sz val="10"/>
        <rFont val="Noto Sans CJK SC"/>
        <family val="2"/>
      </rPr>
      <t xml:space="preserve">제외</t>
    </r>
    <r>
      <rPr>
        <sz val="10"/>
        <rFont val="맑은 고딕"/>
        <family val="0"/>
        <charset val="1"/>
      </rPr>
      <t xml:space="preserve">), availableRooms=3</t>
    </r>
  </si>
  <si>
    <t xml:space="preserve">TC-11</t>
  </si>
  <si>
    <t xml:space="preserve">객실 목록과 기간 총액 표시</t>
  </si>
  <si>
    <r>
      <rPr>
        <sz val="10"/>
        <rFont val="맑은 고딕"/>
        <family val="0"/>
        <charset val="1"/>
      </rPr>
      <t xml:space="preserve">hotel.html?id=1&amp;checkIn=D+30&amp;checkOut=D+32&amp;guests=2 </t>
    </r>
    <r>
      <rPr>
        <sz val="10"/>
        <rFont val="Noto Sans CJK SC"/>
        <family val="2"/>
      </rPr>
      <t xml:space="preserve">접속</t>
    </r>
  </si>
  <si>
    <r>
      <rPr>
        <sz val="10"/>
        <rFont val="Noto Sans CJK SC"/>
        <family val="2"/>
      </rPr>
      <t xml:space="preserve">호텔 상세에 다음 항목 정상 노출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호텔명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주소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별점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설명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숙박 요약</t>
    </r>
    <r>
      <rPr>
        <sz val="10"/>
        <rFont val="맑은 고딕"/>
        <family val="0"/>
        <charset val="1"/>
      </rPr>
      <t xml:space="preserve">(n</t>
    </r>
    <r>
      <rPr>
        <sz val="10"/>
        <rFont val="Noto Sans CJK SC"/>
        <family val="2"/>
      </rPr>
      <t xml:space="preserve">박</t>
    </r>
    <r>
      <rPr>
        <sz val="10"/>
        <rFont val="맑은 고딕"/>
        <family val="0"/>
        <charset val="1"/>
      </rPr>
      <t xml:space="preserve">·n</t>
    </r>
    <r>
      <rPr>
        <sz val="10"/>
        <rFont val="Noto Sans CJK SC"/>
        <family val="2"/>
      </rPr>
      <t xml:space="preserve">명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체크인</t>
    </r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체크아웃</t>
    </r>
    <r>
      <rPr>
        <sz val="10"/>
        <rFont val="맑은 고딕"/>
        <family val="0"/>
        <charset val="1"/>
      </rPr>
      <t xml:space="preserve">), </t>
    </r>
    <r>
      <rPr>
        <sz val="10"/>
        <rFont val="Noto Sans CJK SC"/>
        <family val="2"/>
      </rPr>
      <t xml:space="preserve">객실별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박 요금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기간 총액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최대 인원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예약 가능 여부
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서울 그랜드 호텔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박 기준 객실 총액 </t>
    </r>
    <r>
      <rPr>
        <sz val="10"/>
        <rFont val="맑은 고딕"/>
        <family val="0"/>
        <charset val="1"/>
      </rPr>
      <t xml:space="preserve">240,000 / 320,000 / 560,000</t>
    </r>
    <r>
      <rPr>
        <sz val="10"/>
        <rFont val="Noto Sans CJK SC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</si>
  <si>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AI </t>
    </r>
    <r>
      <rPr>
        <sz val="10"/>
        <rFont val="Noto Sans CJK SC"/>
        <family val="2"/>
      </rPr>
      <t xml:space="preserve">원문은 </t>
    </r>
    <r>
      <rPr>
        <sz val="10"/>
        <rFont val="맑은 고딕"/>
        <family val="0"/>
        <charset val="1"/>
      </rPr>
      <t xml:space="preserve">data-testid </t>
    </r>
    <r>
      <rPr>
        <sz val="10"/>
        <rFont val="Noto Sans CJK SC"/>
        <family val="2"/>
      </rPr>
      <t xml:space="preserve">값만 나열 → 사용자가 실제로 보는 화면 요소 기준으로 검증 항목 보강</t>
    </r>
  </si>
  <si>
    <t xml:space="preserve">TC-12</t>
  </si>
  <si>
    <r>
      <rPr>
        <sz val="10"/>
        <rFont val="Noto Sans CJK SC"/>
        <family val="2"/>
      </rPr>
      <t xml:space="preserve">객실 조회 시 잘못된 호텔 </t>
    </r>
    <r>
      <rPr>
        <sz val="10"/>
        <rFont val="맑은 고딕"/>
        <family val="0"/>
        <charset val="1"/>
      </rPr>
      <t xml:space="preserve">id</t>
    </r>
  </si>
  <si>
    <t xml:space="preserve">① GET /api/hotels/999/rooms
② GET /api/hotels/abc/rooms</t>
  </si>
  <si>
    <t xml:space="preserve">①: 404 NOT_FOUND. ②: 400 VALIDATION_ERROR</t>
  </si>
  <si>
    <t xml:space="preserve">TC-13</t>
  </si>
  <si>
    <r>
      <rPr>
        <sz val="10"/>
        <rFont val="Noto Sans CJK SC"/>
        <family val="2"/>
      </rPr>
      <t xml:space="preserve">기존 예약 반영한 </t>
    </r>
    <r>
      <rPr>
        <sz val="10"/>
        <rFont val="맑은 고딕"/>
        <family val="0"/>
        <charset val="1"/>
      </rPr>
      <t xml:space="preserve">available </t>
    </r>
    <r>
      <rPr>
        <sz val="10"/>
        <rFont val="Noto Sans CJK SC"/>
        <family val="2"/>
      </rPr>
      <t xml:space="preserve">계산</t>
    </r>
  </si>
  <si>
    <r>
      <rPr>
        <sz val="10"/>
        <rFont val="맑은 고딕"/>
        <family val="0"/>
        <charset val="1"/>
      </rPr>
      <t xml:space="preserve">R1 </t>
    </r>
    <r>
      <rPr>
        <sz val="10"/>
        <rFont val="Noto Sans CJK SC"/>
        <family val="2"/>
      </rPr>
      <t xml:space="preserve">생성</t>
    </r>
  </si>
  <si>
    <t xml:space="preserve">GET /api/hotels/1/rooms?checkIn=D+31&amp;checkOut=D+33&amp;guests=2</t>
  </si>
  <si>
    <r>
      <rPr>
        <sz val="10"/>
        <rFont val="맑은 고딕"/>
        <family val="0"/>
        <charset val="1"/>
      </rPr>
      <t xml:space="preserve">200. room id 1</t>
    </r>
    <r>
      <rPr>
        <sz val="10"/>
        <rFont val="Noto Sans CJK SC"/>
        <family val="2"/>
      </rPr>
      <t xml:space="preserve">은 </t>
    </r>
    <r>
      <rPr>
        <sz val="10"/>
        <rFont val="맑은 고딕"/>
        <family val="0"/>
        <charset val="1"/>
      </rPr>
      <t xml:space="preserve">available:false, id 2·3</t>
    </r>
    <r>
      <rPr>
        <sz val="10"/>
        <rFont val="Noto Sans CJK SC"/>
        <family val="2"/>
      </rPr>
      <t xml:space="preserve">은 </t>
    </r>
    <r>
      <rPr>
        <sz val="10"/>
        <rFont val="맑은 고딕"/>
        <family val="0"/>
        <charset val="1"/>
      </rPr>
      <t xml:space="preserve">available:true</t>
    </r>
  </si>
  <si>
    <t xml:space="preserve">TC-14</t>
  </si>
  <si>
    <r>
      <rPr>
        <sz val="10"/>
        <rFont val="Noto Sans CJK SC"/>
        <family val="2"/>
      </rPr>
      <t xml:space="preserve">검색부터 예약 완료까지 </t>
    </r>
    <r>
      <rPr>
        <sz val="10"/>
        <rFont val="맑은 고딕"/>
        <family val="0"/>
        <charset val="1"/>
      </rPr>
      <t xml:space="preserve">E2E</t>
    </r>
  </si>
  <si>
    <r>
      <rPr>
        <sz val="10"/>
        <rFont val="Noto Sans CJK SC"/>
        <family val="2"/>
      </rPr>
      <t xml:space="preserve">총 결제 금액 </t>
    </r>
    <r>
      <rPr>
        <sz val="10"/>
        <rFont val="맑은 고딕"/>
        <family val="0"/>
        <charset val="1"/>
      </rPr>
      <t xml:space="preserve">= 1</t>
    </r>
    <r>
      <rPr>
        <sz val="10"/>
        <rFont val="Noto Sans CJK SC"/>
        <family val="2"/>
      </rPr>
      <t xml:space="preserve">박 요금 </t>
    </r>
    <r>
      <rPr>
        <sz val="10"/>
        <rFont val="맑은 고딕"/>
        <family val="0"/>
        <charset val="1"/>
      </rPr>
      <t xml:space="preserve">× </t>
    </r>
    <r>
      <rPr>
        <sz val="10"/>
        <rFont val="Noto Sans CJK SC"/>
        <family val="2"/>
      </rPr>
      <t xml:space="preserve">숙박일수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정책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</si>
  <si>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제주 </t>
    </r>
    <r>
      <rPr>
        <sz val="10"/>
        <rFont val="맑은 고딕"/>
        <family val="0"/>
        <charset val="1"/>
      </rPr>
      <t xml:space="preserve">/ 10/8 ~ 10/11 (3</t>
    </r>
    <r>
      <rPr>
        <sz val="10"/>
        <rFont val="Noto Sans CJK SC"/>
        <family val="2"/>
      </rPr>
      <t xml:space="preserve">박</t>
    </r>
    <r>
      <rPr>
        <sz val="10"/>
        <rFont val="맑은 고딕"/>
        <family val="0"/>
        <charset val="1"/>
      </rPr>
      <t xml:space="preserve">) / 2</t>
    </r>
    <r>
      <rPr>
        <sz val="10"/>
        <rFont val="Noto Sans CJK SC"/>
        <family val="2"/>
      </rPr>
      <t xml:space="preserve">명 검색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제주 포레스트 리조트 → 가든 더블</t>
    </r>
    <r>
      <rPr>
        <sz val="10"/>
        <rFont val="맑은 고딕"/>
        <family val="0"/>
        <charset val="1"/>
      </rPr>
      <t xml:space="preserve">(1</t>
    </r>
    <r>
      <rPr>
        <sz val="10"/>
        <rFont val="Noto Sans CJK SC"/>
        <family val="2"/>
      </rPr>
      <t xml:space="preserve">박 </t>
    </r>
    <r>
      <rPr>
        <sz val="10"/>
        <rFont val="맑은 고딕"/>
        <family val="0"/>
        <charset val="1"/>
      </rPr>
      <t xml:space="preserve">130,000</t>
    </r>
    <r>
      <rPr>
        <sz val="10"/>
        <rFont val="Noto Sans CJK SC"/>
        <family val="2"/>
      </rPr>
      <t xml:space="preserve">원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선택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예약 정보 입력 화면의 총 결제 금액 확인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테스트용 정보 입력 후 예약 확정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로그 </t>
    </r>
    <r>
      <rPr>
        <sz val="10"/>
        <rFont val="맑은 고딕"/>
        <family val="0"/>
        <charset val="1"/>
      </rPr>
      <t xml:space="preserve">totalPrice </t>
    </r>
    <r>
      <rPr>
        <sz val="10"/>
        <rFont val="Noto Sans CJK SC"/>
        <family val="2"/>
      </rPr>
      <t xml:space="preserve">및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내 예약 조회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금액 확인</t>
    </r>
  </si>
  <si>
    <r>
      <rPr>
        <sz val="10"/>
        <rFont val="Noto Sans CJK SC"/>
        <family val="2"/>
      </rPr>
      <t xml:space="preserve">입력 화면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완료 화면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조회 화면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저장 금액 모두 </t>
    </r>
    <r>
      <rPr>
        <sz val="10"/>
        <rFont val="맑은 고딕"/>
        <family val="0"/>
        <charset val="1"/>
      </rPr>
      <t xml:space="preserve">390,000</t>
    </r>
    <r>
      <rPr>
        <sz val="10"/>
        <rFont val="Noto Sans CJK SC"/>
        <family val="2"/>
      </rPr>
      <t xml:space="preserve">원</t>
    </r>
  </si>
  <si>
    <r>
      <rPr>
        <sz val="10"/>
        <rFont val="Noto Sans CJK SC"/>
        <family val="2"/>
      </rPr>
      <t xml:space="preserve">입력 화면 </t>
    </r>
    <r>
      <rPr>
        <sz val="10"/>
        <rFont val="맑은 고딕"/>
        <family val="0"/>
        <charset val="1"/>
      </rPr>
      <t xml:space="preserve">390,000</t>
    </r>
    <r>
      <rPr>
        <sz val="10"/>
        <rFont val="Noto Sans CJK SC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저장 금액 </t>
    </r>
    <r>
      <rPr>
        <sz val="10"/>
        <rFont val="맑은 고딕"/>
        <family val="0"/>
        <charset val="1"/>
      </rPr>
      <t xml:space="preserve">520,000</t>
    </r>
    <r>
      <rPr>
        <sz val="10"/>
        <rFont val="Noto Sans CJK SC"/>
        <family val="2"/>
      </rPr>
      <t xml:space="preserve">원 </t>
    </r>
    <r>
      <rPr>
        <sz val="10"/>
        <rFont val="맑은 고딕"/>
        <family val="0"/>
        <charset val="1"/>
      </rPr>
      <t xml:space="preserve">(RSV-26FFE469, </t>
    </r>
    <r>
      <rPr>
        <sz val="10"/>
        <rFont val="Noto Sans CJK SC"/>
        <family val="2"/>
      </rPr>
      <t xml:space="preserve">로그 </t>
    </r>
    <r>
      <rPr>
        <sz val="10"/>
        <rFont val="맑은 고딕"/>
        <family val="0"/>
        <charset val="1"/>
      </rPr>
      <t xml:space="preserve">16:12:01)</t>
    </r>
  </si>
  <si>
    <t xml:space="preserve">Fail</t>
  </si>
  <si>
    <t xml:space="preserve">#1</t>
  </si>
  <si>
    <r>
      <rPr>
        <sz val="10"/>
        <rFont val="Noto Sans CJK SC"/>
        <family val="2"/>
      </rPr>
      <t xml:space="preserve">원문 기대결과가 개발 관점</t>
    </r>
    <r>
      <rPr>
        <sz val="10"/>
        <rFont val="맑은 고딕"/>
        <family val="0"/>
        <charset val="1"/>
      </rPr>
      <t xml:space="preserve">(data-testid, DB </t>
    </r>
    <r>
      <rPr>
        <sz val="10"/>
        <rFont val="Noto Sans CJK SC"/>
        <family val="2"/>
      </rPr>
      <t xml:space="preserve">행 추가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이고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예약 완료 여부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위주라 금액 결함을 놓치기 쉬움 → 화면 금액과 저장 금액 대조로 재작성</t>
    </r>
  </si>
  <si>
    <r>
      <rPr>
        <sz val="9"/>
        <color rgb="FF888888"/>
        <rFont val="맑은 고딕"/>
        <family val="0"/>
        <charset val="1"/>
      </rPr>
      <t xml:space="preserve">① TC-01 </t>
    </r>
    <r>
      <rPr>
        <sz val="9"/>
        <color rgb="FF888888"/>
        <rFont val="Noto Sans CJK SC"/>
        <family val="2"/>
      </rPr>
      <t xml:space="preserve">검색
② </t>
    </r>
    <r>
      <rPr>
        <sz val="9"/>
        <color rgb="FF888888"/>
        <rFont val="맑은 고딕"/>
        <family val="0"/>
        <charset val="1"/>
      </rPr>
      <t xml:space="preserve">hotel-detail-btn-1
③ room-select-btn-1
④ </t>
    </r>
    <r>
      <rPr>
        <sz val="9"/>
        <color rgb="FF888888"/>
        <rFont val="Noto Sans CJK SC"/>
        <family val="2"/>
      </rPr>
      <t xml:space="preserve">이름 홍길동</t>
    </r>
    <r>
      <rPr>
        <sz val="9"/>
        <color rgb="FF888888"/>
        <rFont val="맑은 고딕"/>
        <family val="0"/>
        <charset val="1"/>
      </rPr>
      <t xml:space="preserve">, </t>
    </r>
    <r>
      <rPr>
        <sz val="9"/>
        <color rgb="FF888888"/>
        <rFont val="Noto Sans CJK SC"/>
        <family val="2"/>
      </rPr>
      <t xml:space="preserve">이메일 </t>
    </r>
    <r>
      <rPr>
        <sz val="9"/>
        <color rgb="FF888888"/>
        <rFont val="맑은 고딕"/>
        <family val="0"/>
        <charset val="1"/>
      </rPr>
      <t xml:space="preserve">hong@test.com, </t>
    </r>
    <r>
      <rPr>
        <sz val="9"/>
        <color rgb="FF888888"/>
        <rFont val="Noto Sans CJK SC"/>
        <family val="2"/>
      </rPr>
      <t xml:space="preserve">전화 </t>
    </r>
    <r>
      <rPr>
        <sz val="9"/>
        <color rgb="FF888888"/>
        <rFont val="맑은 고딕"/>
        <family val="0"/>
        <charset val="1"/>
      </rPr>
      <t xml:space="preserve">010-1234-5678
⑤ booking-submit</t>
    </r>
  </si>
  <si>
    <t xml:space="preserve">TC-15</t>
  </si>
  <si>
    <t xml:space="preserve">예약 생성 응답 검증</t>
  </si>
  <si>
    <r>
      <rPr>
        <sz val="10"/>
        <rFont val="맑은 고딕"/>
        <family val="0"/>
        <charset val="1"/>
      </rPr>
      <t xml:space="preserve">POST /api/reservations (</t>
    </r>
    <r>
      <rPr>
        <sz val="10"/>
        <rFont val="Noto Sans CJK SC"/>
        <family val="2"/>
      </rPr>
      <t xml:space="preserve">객실 </t>
    </r>
    <r>
      <rPr>
        <sz val="10"/>
        <rFont val="맑은 고딕"/>
        <family val="0"/>
        <charset val="1"/>
      </rPr>
      <t xml:space="preserve">2, D+30~D+33, 3</t>
    </r>
    <r>
      <rPr>
        <sz val="10"/>
        <rFont val="Noto Sans CJK SC"/>
        <family val="2"/>
      </rPr>
      <t xml:space="preserve">명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유효 정보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</si>
  <si>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201. status=CONFIRMED, nights=3, totalPrice=480000, room.pricePerNight=160000, cancelledAt=null. id </t>
    </r>
    <r>
      <rPr>
        <sz val="10"/>
        <rFont val="Noto Sans CJK SC"/>
        <family val="2"/>
      </rPr>
      <t xml:space="preserve">정규식 </t>
    </r>
    <r>
      <rPr>
        <sz val="10"/>
        <rFont val="맑은 고딕"/>
        <family val="0"/>
        <charset val="1"/>
      </rPr>
      <t xml:space="preserve">^RSV-.{8}$ </t>
    </r>
    <r>
      <rPr>
        <sz val="10"/>
        <rFont val="Noto Sans CJK SC"/>
        <family val="2"/>
      </rPr>
      <t xml:space="preserve">일치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</si>
  <si>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객실 </t>
    </r>
    <r>
      <rPr>
        <sz val="10"/>
        <rFont val="맑은 고딕"/>
        <family val="0"/>
        <charset val="1"/>
      </rPr>
      <t xml:space="preserve">2'</t>
    </r>
    <r>
      <rPr>
        <sz val="10"/>
        <rFont val="Noto Sans CJK SC"/>
        <family val="2"/>
      </rPr>
      <t xml:space="preserve">가 객실 </t>
    </r>
    <r>
      <rPr>
        <sz val="10"/>
        <rFont val="맑은 고딕"/>
        <family val="0"/>
        <charset val="1"/>
      </rPr>
      <t xml:space="preserve">ID 2</t>
    </r>
    <r>
      <rPr>
        <sz val="10"/>
        <rFont val="Noto Sans CJK SC"/>
        <family val="2"/>
      </rPr>
      <t xml:space="preserve">번인지 객실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 예약인지 모호</t>
    </r>
    <r>
      <rPr>
        <sz val="10"/>
        <rFont val="맑은 고딕"/>
        <family val="0"/>
        <charset val="1"/>
      </rPr>
      <t xml:space="preserve">(2</t>
    </r>
    <r>
      <rPr>
        <sz val="10"/>
        <rFont val="Noto Sans CJK SC"/>
        <family val="2"/>
      </rPr>
      <t xml:space="preserve">실 예약 기능은 없음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객실 </t>
    </r>
    <r>
      <rPr>
        <sz val="10"/>
        <rFont val="맑은 고딕"/>
        <family val="0"/>
        <charset val="1"/>
      </rPr>
      <t xml:space="preserve">ID</t>
    </r>
    <r>
      <rPr>
        <sz val="10"/>
        <rFont val="Noto Sans CJK SC"/>
        <family val="2"/>
      </rPr>
      <t xml:space="preserve">로 명시 필요</t>
    </r>
  </si>
  <si>
    <t xml:space="preserve">TC-16</t>
  </si>
  <si>
    <t xml:space="preserve">객실 수용 인원 초과</t>
  </si>
  <si>
    <r>
      <rPr>
        <sz val="10"/>
        <rFont val="맑은 고딕"/>
        <family val="0"/>
        <charset val="1"/>
      </rPr>
      <t xml:space="preserve">POST </t>
    </r>
    <r>
      <rPr>
        <sz val="10"/>
        <rFont val="Noto Sans CJK SC"/>
        <family val="2"/>
      </rPr>
      <t xml:space="preserve">객실 </t>
    </r>
    <r>
      <rPr>
        <sz val="10"/>
        <rFont val="맑은 고딕"/>
        <family val="0"/>
        <charset val="1"/>
      </rPr>
      <t xml:space="preserve">1(</t>
    </r>
    <r>
      <rPr>
        <sz val="10"/>
        <rFont val="Noto Sans CJK SC"/>
        <family val="2"/>
      </rPr>
      <t xml:space="preserve">정원 </t>
    </r>
    <r>
      <rPr>
        <sz val="10"/>
        <rFont val="맑은 고딕"/>
        <family val="0"/>
        <charset val="1"/>
      </rPr>
      <t xml:space="preserve">2), guests=3 / </t>
    </r>
    <r>
      <rPr>
        <sz val="10"/>
        <rFont val="Noto Sans CJK SC"/>
        <family val="2"/>
      </rPr>
      <t xml:space="preserve">같은 조건 </t>
    </r>
    <r>
      <rPr>
        <sz val="10"/>
        <rFont val="맑은 고딕"/>
        <family val="0"/>
        <charset val="1"/>
      </rPr>
      <t xml:space="preserve">guests=2</t>
    </r>
  </si>
  <si>
    <r>
      <rPr>
        <sz val="10"/>
        <rFont val="맑은 고딕"/>
        <family val="0"/>
        <charset val="1"/>
      </rPr>
      <t xml:space="preserve">guests=3: 400 VALIDATION_ERROR, DB </t>
    </r>
    <r>
      <rPr>
        <sz val="10"/>
        <rFont val="Noto Sans CJK SC"/>
        <family val="2"/>
      </rPr>
      <t xml:space="preserve">행 증가 없음</t>
    </r>
    <r>
      <rPr>
        <sz val="10"/>
        <rFont val="맑은 고딕"/>
        <family val="0"/>
        <charset val="1"/>
      </rPr>
      <t xml:space="preserve">. guests=2: 201</t>
    </r>
  </si>
  <si>
    <r>
      <rPr>
        <sz val="10"/>
        <rFont val="맑은 고딕"/>
        <family val="0"/>
        <charset val="1"/>
      </rPr>
      <t xml:space="preserve">TC-15</t>
    </r>
    <r>
      <rPr>
        <sz val="10"/>
        <rFont val="Noto Sans CJK SC"/>
        <family val="2"/>
      </rPr>
      <t xml:space="preserve">와 같은 표기 문제</t>
    </r>
    <r>
      <rPr>
        <sz val="10"/>
        <rFont val="맑은 고딕"/>
        <family val="0"/>
        <charset val="1"/>
      </rPr>
      <t xml:space="preserve">. UI</t>
    </r>
    <r>
      <rPr>
        <sz val="10"/>
        <rFont val="Noto Sans CJK SC"/>
        <family val="2"/>
      </rPr>
      <t xml:space="preserve">에서는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명 검색 시 정원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명 객실이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예약 불가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표시됨을 확인</t>
    </r>
    <r>
      <rPr>
        <sz val="10"/>
        <rFont val="맑은 고딕"/>
        <family val="0"/>
        <charset val="1"/>
      </rPr>
      <t xml:space="preserve">(10/7). </t>
    </r>
    <r>
      <rPr>
        <sz val="10"/>
        <rFont val="Noto Sans CJK SC"/>
        <family val="2"/>
      </rPr>
      <t xml:space="preserve">서버 차단 여부는 </t>
    </r>
    <r>
      <rPr>
        <sz val="10"/>
        <rFont val="맑은 고딕"/>
        <family val="0"/>
        <charset val="1"/>
      </rPr>
      <t xml:space="preserve">API </t>
    </r>
    <r>
      <rPr>
        <sz val="10"/>
        <rFont val="Noto Sans CJK SC"/>
        <family val="2"/>
      </rPr>
      <t xml:space="preserve">단계에서 확인</t>
    </r>
  </si>
  <si>
    <t xml:space="preserve">TC-17</t>
  </si>
  <si>
    <t xml:space="preserve">기간 겹치는 중복 예약</t>
  </si>
  <si>
    <r>
      <rPr>
        <sz val="10"/>
        <rFont val="Noto Sans CJK SC"/>
        <family val="2"/>
      </rPr>
      <t xml:space="preserve">같은 객실은 기간이 겹치면 예약 불가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정책</t>
    </r>
    <r>
      <rPr>
        <sz val="10"/>
        <rFont val="맑은 고딕"/>
        <family val="0"/>
        <charset val="1"/>
      </rPr>
      <t xml:space="preserve">)
</t>
    </r>
    <r>
      <rPr>
        <sz val="10"/>
        <rFont val="Noto Sans CJK SC"/>
        <family val="2"/>
      </rPr>
      <t xml:space="preserve">서울 그랜드 호텔 스탠다드 더블에 </t>
    </r>
    <r>
      <rPr>
        <sz val="10"/>
        <rFont val="맑은 고딕"/>
        <family val="0"/>
        <charset val="1"/>
      </rPr>
      <t xml:space="preserve">11/1~11/3 </t>
    </r>
    <r>
      <rPr>
        <sz val="10"/>
        <rFont val="Noto Sans CJK SC"/>
        <family val="2"/>
      </rPr>
      <t xml:space="preserve">예약 존재 </t>
    </r>
    <r>
      <rPr>
        <sz val="10"/>
        <rFont val="맑은 고딕"/>
        <family val="0"/>
        <charset val="1"/>
      </rPr>
      <t xml:space="preserve">(RSV-A375CEDF)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</si>
  <si>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서울 </t>
    </r>
    <r>
      <rPr>
        <sz val="10"/>
        <rFont val="맑은 고딕"/>
        <family val="0"/>
        <charset val="1"/>
      </rPr>
      <t xml:space="preserve">/ 11/2 ~ 11/4 / 2</t>
    </r>
    <r>
      <rPr>
        <sz val="10"/>
        <rFont val="Noto Sans CJK SC"/>
        <family val="2"/>
      </rPr>
      <t xml:space="preserve">명 검색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서울 그랜드 호텔 → 객실 목록 확인</t>
    </r>
  </si>
  <si>
    <r>
      <rPr>
        <sz val="10"/>
        <rFont val="Noto Sans CJK SC"/>
        <family val="2"/>
      </rPr>
      <t xml:space="preserve">스탠다드 더블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예약 불가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표시</t>
    </r>
  </si>
  <si>
    <r>
      <rPr>
        <sz val="10"/>
        <rFont val="Noto Sans CJK SC"/>
        <family val="2"/>
      </rPr>
      <t xml:space="preserve">기간 겹침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가지 유형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뒤쪽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앞쪽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감쌈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포함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중 뒤쪽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가지만 다룸 → </t>
    </r>
    <r>
      <rPr>
        <sz val="10"/>
        <rFont val="맑은 고딕"/>
        <family val="0"/>
        <charset val="1"/>
      </rPr>
      <t xml:space="preserve">TC-32, 37, 38 </t>
    </r>
    <r>
      <rPr>
        <sz val="10"/>
        <rFont val="Noto Sans CJK SC"/>
        <family val="2"/>
      </rPr>
      <t xml:space="preserve">추가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화면 표시만 확인했으며 서버 차단은 </t>
    </r>
    <r>
      <rPr>
        <sz val="10"/>
        <rFont val="맑은 고딕"/>
        <family val="0"/>
        <charset val="1"/>
      </rPr>
      <t xml:space="preserve">API </t>
    </r>
    <r>
      <rPr>
        <sz val="10"/>
        <rFont val="Noto Sans CJK SC"/>
        <family val="2"/>
      </rPr>
      <t xml:space="preserve">단계에서 확인</t>
    </r>
  </si>
  <si>
    <r>
      <rPr>
        <sz val="9"/>
        <color rgb="FF888888"/>
        <rFont val="맑은 고딕"/>
        <family val="0"/>
        <charset val="1"/>
      </rPr>
      <t xml:space="preserve">POST </t>
    </r>
    <r>
      <rPr>
        <sz val="9"/>
        <color rgb="FF888888"/>
        <rFont val="Noto Sans CJK SC"/>
        <family val="2"/>
      </rPr>
      <t xml:space="preserve">객실 </t>
    </r>
    <r>
      <rPr>
        <sz val="9"/>
        <color rgb="FF888888"/>
        <rFont val="맑은 고딕"/>
        <family val="0"/>
        <charset val="1"/>
      </rPr>
      <t xml:space="preserve">1, D+31~D+33</t>
    </r>
  </si>
  <si>
    <t xml:space="preserve">TC-18</t>
  </si>
  <si>
    <r>
      <rPr>
        <sz val="10"/>
        <rFont val="Noto Sans CJK SC"/>
        <family val="2"/>
      </rPr>
      <t xml:space="preserve">체크아웃일</t>
    </r>
    <r>
      <rPr>
        <sz val="10"/>
        <rFont val="맑은 고딕"/>
        <family val="0"/>
        <charset val="1"/>
      </rPr>
      <t xml:space="preserve">=</t>
    </r>
    <r>
      <rPr>
        <sz val="10"/>
        <rFont val="Noto Sans CJK SC"/>
        <family val="2"/>
      </rPr>
      <t xml:space="preserve">다음 체크인일 허용</t>
    </r>
  </si>
  <si>
    <r>
      <rPr>
        <sz val="10"/>
        <rFont val="맑은 고딕"/>
        <family val="0"/>
        <charset val="1"/>
      </rPr>
      <t xml:space="preserve">POST </t>
    </r>
    <r>
      <rPr>
        <sz val="10"/>
        <rFont val="Noto Sans CJK SC"/>
        <family val="2"/>
      </rPr>
      <t xml:space="preserve">객실 </t>
    </r>
    <r>
      <rPr>
        <sz val="10"/>
        <rFont val="맑은 고딕"/>
        <family val="0"/>
        <charset val="1"/>
      </rPr>
      <t xml:space="preserve">1, D+32~D+34</t>
    </r>
  </si>
  <si>
    <r>
      <rPr>
        <sz val="10"/>
        <rFont val="맑은 고딕"/>
        <family val="0"/>
        <charset val="1"/>
      </rPr>
      <t xml:space="preserve">201, status=CONFIRMED. DB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room_id=1 CONFIRMED 2</t>
    </r>
    <r>
      <rPr>
        <sz val="10"/>
        <rFont val="Noto Sans CJK SC"/>
        <family val="2"/>
      </rPr>
      <t xml:space="preserve">건</t>
    </r>
  </si>
  <si>
    <t xml:space="preserve">TC-19</t>
  </si>
  <si>
    <t xml:space="preserve">취소된 예약 기간 재예약</t>
  </si>
  <si>
    <r>
      <rPr>
        <sz val="10"/>
        <rFont val="맑은 고딕"/>
        <family val="0"/>
        <charset val="1"/>
      </rPr>
      <t xml:space="preserve">R1 </t>
    </r>
    <r>
      <rPr>
        <sz val="10"/>
        <rFont val="Noto Sans CJK SC"/>
        <family val="2"/>
      </rPr>
      <t xml:space="preserve">생성 후 취소</t>
    </r>
  </si>
  <si>
    <r>
      <rPr>
        <sz val="10"/>
        <rFont val="맑은 고딕"/>
        <family val="0"/>
        <charset val="1"/>
      </rPr>
      <t xml:space="preserve">POST </t>
    </r>
    <r>
      <rPr>
        <sz val="10"/>
        <rFont val="Noto Sans CJK SC"/>
        <family val="2"/>
      </rPr>
      <t xml:space="preserve">객실 </t>
    </r>
    <r>
      <rPr>
        <sz val="10"/>
        <rFont val="맑은 고딕"/>
        <family val="0"/>
        <charset val="1"/>
      </rPr>
      <t xml:space="preserve">1, D+30~D+32 (</t>
    </r>
    <r>
      <rPr>
        <sz val="10"/>
        <rFont val="Noto Sans CJK SC"/>
        <family val="2"/>
      </rPr>
      <t xml:space="preserve">다른 이메일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</si>
  <si>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201. DB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room_id=1 </t>
    </r>
    <r>
      <rPr>
        <sz val="10"/>
        <rFont val="Noto Sans CJK SC"/>
        <family val="2"/>
      </rPr>
      <t xml:space="preserve">행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건</t>
    </r>
    <r>
      <rPr>
        <sz val="10"/>
        <rFont val="맑은 고딕"/>
        <family val="0"/>
        <charset val="1"/>
      </rPr>
      <t xml:space="preserve">(CANCELLED 1, CONFIRMED 1)</t>
    </r>
  </si>
  <si>
    <t xml:space="preserve">TC-20</t>
  </si>
  <si>
    <t xml:space="preserve">존재하지 않는 객실</t>
  </si>
  <si>
    <r>
      <rPr>
        <sz val="10"/>
        <rFont val="맑은 고딕"/>
        <family val="0"/>
        <charset val="1"/>
      </rPr>
      <t xml:space="preserve">POST /api/reservations roomId=999, </t>
    </r>
    <r>
      <rPr>
        <sz val="10"/>
        <rFont val="Noto Sans CJK SC"/>
        <family val="2"/>
      </rPr>
      <t xml:space="preserve">나머지 유효</t>
    </r>
  </si>
  <si>
    <r>
      <rPr>
        <sz val="10"/>
        <rFont val="맑은 고딕"/>
        <family val="0"/>
        <charset val="1"/>
      </rPr>
      <t xml:space="preserve">404 NOT_FOUND, DB </t>
    </r>
    <r>
      <rPr>
        <sz val="10"/>
        <rFont val="Noto Sans CJK SC"/>
        <family val="2"/>
      </rPr>
      <t xml:space="preserve">행 증가 없음</t>
    </r>
  </si>
  <si>
    <t xml:space="preserve">TC-21</t>
  </si>
  <si>
    <r>
      <rPr>
        <sz val="10"/>
        <rFont val="맑은 고딕"/>
        <family val="0"/>
        <charset val="1"/>
      </rPr>
      <t xml:space="preserve">JSON </t>
    </r>
    <r>
      <rPr>
        <sz val="10"/>
        <rFont val="Noto Sans CJK SC"/>
        <family val="2"/>
      </rPr>
      <t xml:space="preserve">아닌 본문</t>
    </r>
  </si>
  <si>
    <r>
      <rPr>
        <sz val="10"/>
        <rFont val="맑은 고딕"/>
        <family val="0"/>
        <charset val="1"/>
      </rPr>
      <t xml:space="preserve">POST /api/reservations, Content-Type: application/json, </t>
    </r>
    <r>
      <rPr>
        <sz val="10"/>
        <rFont val="Noto Sans CJK SC"/>
        <family val="2"/>
      </rPr>
      <t xml:space="preserve">본문 </t>
    </r>
    <r>
      <rPr>
        <sz val="10"/>
        <rFont val="맑은 고딕"/>
        <family val="0"/>
        <charset val="1"/>
      </rPr>
      <t xml:space="preserve">{roomId:1,</t>
    </r>
  </si>
  <si>
    <r>
      <rPr>
        <sz val="10"/>
        <rFont val="맑은 고딕"/>
        <family val="0"/>
        <charset val="1"/>
      </rPr>
      <t xml:space="preserve">400 INVALID_JSON, </t>
    </r>
    <r>
      <rPr>
        <sz val="10"/>
        <rFont val="Noto Sans CJK SC"/>
        <family val="2"/>
      </rPr>
      <t xml:space="preserve">응답이 </t>
    </r>
    <r>
      <rPr>
        <sz val="10"/>
        <rFont val="맑은 고딕"/>
        <family val="0"/>
        <charset val="1"/>
      </rPr>
      <t xml:space="preserve">{error:{code,message}} </t>
    </r>
    <r>
      <rPr>
        <sz val="10"/>
        <rFont val="Noto Sans CJK SC"/>
        <family val="2"/>
      </rPr>
      <t xml:space="preserve">구조</t>
    </r>
    <r>
      <rPr>
        <sz val="10"/>
        <rFont val="맑은 고딕"/>
        <family val="0"/>
        <charset val="1"/>
      </rPr>
      <t xml:space="preserve">. 500 </t>
    </r>
    <r>
      <rPr>
        <sz val="10"/>
        <rFont val="Noto Sans CJK SC"/>
        <family val="2"/>
      </rPr>
      <t xml:space="preserve">아님</t>
    </r>
  </si>
  <si>
    <t xml:space="preserve">TC-22</t>
  </si>
  <si>
    <r>
      <rPr>
        <sz val="10"/>
        <rFont val="Noto Sans CJK SC"/>
        <family val="2"/>
      </rPr>
      <t xml:space="preserve">이름 길이 </t>
    </r>
    <r>
      <rPr>
        <sz val="10"/>
        <rFont val="맑은 고딕"/>
        <family val="0"/>
        <charset val="1"/>
      </rPr>
      <t xml:space="preserve">1/50/51</t>
    </r>
    <r>
      <rPr>
        <sz val="10"/>
        <rFont val="Noto Sans CJK SC"/>
        <family val="2"/>
      </rPr>
      <t xml:space="preserve">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빈 값</t>
    </r>
  </si>
  <si>
    <r>
      <rPr>
        <sz val="10"/>
        <rFont val="Noto Sans CJK SC"/>
        <family val="2"/>
      </rPr>
      <t xml:space="preserve">이름만 바꿔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회 </t>
    </r>
    <r>
      <rPr>
        <sz val="10"/>
        <rFont val="맑은 고딕"/>
        <family val="0"/>
        <charset val="1"/>
      </rPr>
      <t xml:space="preserve">POST (</t>
    </r>
    <r>
      <rPr>
        <sz val="10"/>
        <rFont val="Noto Sans CJK SC"/>
        <family val="2"/>
      </rPr>
      <t xml:space="preserve">날짜는 매번 다른 기간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</si>
  <si>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자</t>
    </r>
    <r>
      <rPr>
        <sz val="10"/>
        <rFont val="맑은 고딕"/>
        <family val="0"/>
        <charset val="1"/>
      </rPr>
      <t xml:space="preserve">·50</t>
    </r>
    <r>
      <rPr>
        <sz val="10"/>
        <rFont val="Noto Sans CJK SC"/>
        <family val="2"/>
      </rPr>
      <t xml:space="preserve">자</t>
    </r>
    <r>
      <rPr>
        <sz val="10"/>
        <rFont val="맑은 고딕"/>
        <family val="0"/>
        <charset val="1"/>
      </rPr>
      <t xml:space="preserve">: 201. 51</t>
    </r>
    <r>
      <rPr>
        <sz val="10"/>
        <rFont val="Noto Sans CJK SC"/>
        <family val="2"/>
      </rPr>
      <t xml:space="preserve">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빈 문자열</t>
    </r>
    <r>
      <rPr>
        <sz val="10"/>
        <rFont val="맑은 고딕"/>
        <family val="0"/>
        <charset val="1"/>
      </rPr>
      <t xml:space="preserve">: 400 VALIDATION_ERROR, details.name </t>
    </r>
    <r>
      <rPr>
        <sz val="10"/>
        <rFont val="Noto Sans CJK SC"/>
        <family val="2"/>
      </rPr>
      <t xml:space="preserve">존재</t>
    </r>
  </si>
  <si>
    <t xml:space="preserve">TC-23</t>
  </si>
  <si>
    <r>
      <rPr>
        <sz val="10"/>
        <rFont val="Noto Sans CJK SC"/>
        <family val="2"/>
      </rPr>
      <t xml:space="preserve">전화번호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이메일 형식</t>
    </r>
  </si>
  <si>
    <r>
      <rPr>
        <sz val="10"/>
        <rFont val="맑은 고딕"/>
        <family val="0"/>
        <charset val="1"/>
      </rPr>
      <t xml:space="preserve">phone=01012345678, 010-123-4567, 010 1234 5678 / email=hong@, hong.test.com</t>
    </r>
    <r>
      <rPr>
        <sz val="10"/>
        <rFont val="Noto Sans CJK SC"/>
        <family val="2"/>
      </rPr>
      <t xml:space="preserve">으로 각각 </t>
    </r>
    <r>
      <rPr>
        <sz val="10"/>
        <rFont val="맑은 고딕"/>
        <family val="0"/>
        <charset val="1"/>
      </rPr>
      <t xml:space="preserve">POST</t>
    </r>
  </si>
  <si>
    <r>
      <rPr>
        <sz val="10"/>
        <rFont val="맑은 고딕"/>
        <family val="0"/>
        <charset val="1"/>
      </rPr>
      <t xml:space="preserve">01012345678: 201. </t>
    </r>
    <r>
      <rPr>
        <sz val="10"/>
        <rFont val="Noto Sans CJK SC"/>
        <family val="2"/>
      </rPr>
      <t xml:space="preserve">나머지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건</t>
    </r>
    <r>
      <rPr>
        <sz val="10"/>
        <rFont val="맑은 고딕"/>
        <family val="0"/>
        <charset val="1"/>
      </rPr>
      <t xml:space="preserve">: 400 VALIDATION_ERROR, details</t>
    </r>
    <r>
      <rPr>
        <sz val="10"/>
        <rFont val="Noto Sans CJK SC"/>
        <family val="2"/>
      </rPr>
      <t xml:space="preserve">에 해당 필드</t>
    </r>
    <r>
      <rPr>
        <sz val="10"/>
        <rFont val="맑은 고딕"/>
        <family val="0"/>
        <charset val="1"/>
      </rPr>
      <t xml:space="preserve">(phone/email) </t>
    </r>
    <r>
      <rPr>
        <sz val="10"/>
        <rFont val="Noto Sans CJK SC"/>
        <family val="2"/>
      </rPr>
      <t xml:space="preserve">키 존재</t>
    </r>
  </si>
  <si>
    <t xml:space="preserve">TC-24</t>
  </si>
  <si>
    <t xml:space="preserve">예약 입력 폼 검증 메시지</t>
  </si>
  <si>
    <r>
      <rPr>
        <sz val="10"/>
        <rFont val="Noto Sans CJK SC"/>
        <family val="2"/>
      </rPr>
      <t xml:space="preserve">초기화</t>
    </r>
    <r>
      <rPr>
        <sz val="10"/>
        <rFont val="맑은 고딕"/>
        <family val="0"/>
        <charset val="1"/>
      </rPr>
      <t xml:space="preserve">, book.html(</t>
    </r>
    <r>
      <rPr>
        <sz val="10"/>
        <rFont val="Noto Sans CJK SC"/>
        <family val="2"/>
      </rPr>
      <t xml:space="preserve">객실 </t>
    </r>
    <r>
      <rPr>
        <sz val="10"/>
        <rFont val="맑은 고딕"/>
        <family val="0"/>
        <charset val="1"/>
      </rPr>
      <t xml:space="preserve">1, D+30~D+32, 2</t>
    </r>
    <r>
      <rPr>
        <sz val="10"/>
        <rFont val="Noto Sans CJK SC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진입</t>
    </r>
  </si>
  <si>
    <r>
      <rPr>
        <sz val="10"/>
        <rFont val="Noto Sans CJK SC"/>
        <family val="2"/>
      </rPr>
      <t xml:space="preserve">이름 공란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이메일 </t>
    </r>
    <r>
      <rPr>
        <sz val="10"/>
        <rFont val="맑은 고딕"/>
        <family val="0"/>
        <charset val="1"/>
      </rPr>
      <t xml:space="preserve">abc, </t>
    </r>
    <r>
      <rPr>
        <sz val="10"/>
        <rFont val="Noto Sans CJK SC"/>
        <family val="2"/>
      </rPr>
      <t xml:space="preserve">전화 </t>
    </r>
    <r>
      <rPr>
        <sz val="10"/>
        <rFont val="맑은 고딕"/>
        <family val="0"/>
        <charset val="1"/>
      </rPr>
      <t xml:space="preserve">123 </t>
    </r>
    <r>
      <rPr>
        <sz val="10"/>
        <rFont val="Noto Sans CJK SC"/>
        <family val="2"/>
      </rPr>
      <t xml:space="preserve">입력 후 </t>
    </r>
    <r>
      <rPr>
        <sz val="10"/>
        <rFont val="맑은 고딕"/>
        <family val="0"/>
        <charset val="1"/>
      </rPr>
      <t xml:space="preserve">booking-submit</t>
    </r>
  </si>
  <si>
    <r>
      <rPr>
        <sz val="10"/>
        <rFont val="맑은 고딕"/>
        <family val="0"/>
        <charset val="1"/>
      </rPr>
      <t xml:space="preserve">guest-name-error, guest-email-error, guest-phone-error 3</t>
    </r>
    <r>
      <rPr>
        <sz val="10"/>
        <rFont val="Noto Sans CJK SC"/>
        <family val="2"/>
      </rPr>
      <t xml:space="preserve">개 모두 표시</t>
    </r>
    <r>
      <rPr>
        <sz val="10"/>
        <rFont val="맑은 고딕"/>
        <family val="0"/>
        <charset val="1"/>
      </rPr>
      <t xml:space="preserve">. complete.html</t>
    </r>
    <r>
      <rPr>
        <sz val="10"/>
        <rFont val="Noto Sans CJK SC"/>
        <family val="2"/>
      </rPr>
      <t xml:space="preserve">로 이동하지 않음</t>
    </r>
    <r>
      <rPr>
        <sz val="10"/>
        <rFont val="맑은 고딕"/>
        <family val="0"/>
        <charset val="1"/>
      </rPr>
      <t xml:space="preserve">. DB </t>
    </r>
    <r>
      <rPr>
        <sz val="10"/>
        <rFont val="Noto Sans CJK SC"/>
        <family val="2"/>
      </rPr>
      <t xml:space="preserve">예약 </t>
    </r>
    <r>
      <rPr>
        <sz val="10"/>
        <rFont val="맑은 고딕"/>
        <family val="0"/>
        <charset val="1"/>
      </rPr>
      <t xml:space="preserve">0</t>
    </r>
    <r>
      <rPr>
        <sz val="10"/>
        <rFont val="Noto Sans CJK SC"/>
        <family val="2"/>
      </rPr>
      <t xml:space="preserve">건 유지</t>
    </r>
  </si>
  <si>
    <r>
      <rPr>
        <sz val="10"/>
        <rFont val="Noto Sans CJK SC"/>
        <family val="2"/>
      </rPr>
      <t xml:space="preserve">전화번호 단독 오류는 확인</t>
    </r>
    <r>
      <rPr>
        <sz val="10"/>
        <rFont val="맑은 고딕"/>
        <family val="0"/>
        <charset val="1"/>
      </rPr>
      <t xml:space="preserve">(10/7, '</t>
    </r>
    <r>
      <rPr>
        <sz val="10"/>
        <rFont val="Noto Sans CJK SC"/>
        <family val="2"/>
      </rPr>
      <t xml:space="preserve">예</t>
    </r>
    <r>
      <rPr>
        <sz val="10"/>
        <rFont val="맑은 고딕"/>
        <family val="0"/>
        <charset val="1"/>
      </rPr>
      <t xml:space="preserve">: 010-1234-5678' </t>
    </r>
    <r>
      <rPr>
        <sz val="10"/>
        <rFont val="Noto Sans CJK SC"/>
        <family val="2"/>
      </rPr>
      <t xml:space="preserve">형식 안내 포함</t>
    </r>
    <r>
      <rPr>
        <sz val="10"/>
        <rFont val="맑은 고딕"/>
        <family val="0"/>
        <charset val="1"/>
      </rPr>
      <t xml:space="preserve">). 3</t>
    </r>
    <r>
      <rPr>
        <sz val="10"/>
        <rFont val="Noto Sans CJK SC"/>
        <family val="2"/>
      </rPr>
      <t xml:space="preserve">개 필드 동시 오류는 미실행</t>
    </r>
  </si>
  <si>
    <t xml:space="preserve">TC-25</t>
  </si>
  <si>
    <t xml:space="preserve">대소문자 다른 이메일로 조회</t>
  </si>
  <si>
    <r>
      <rPr>
        <sz val="10"/>
        <rFont val="Noto Sans CJK SC"/>
        <family val="2"/>
      </rPr>
      <t xml:space="preserve">예약 </t>
    </r>
    <r>
      <rPr>
        <sz val="10"/>
        <rFont val="맑은 고딕"/>
        <family val="0"/>
        <charset val="1"/>
      </rPr>
      <t xml:space="preserve">RSV-199A1DB7 </t>
    </r>
    <r>
      <rPr>
        <sz val="10"/>
        <rFont val="Noto Sans CJK SC"/>
        <family val="2"/>
      </rPr>
      <t xml:space="preserve">존재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이메일 </t>
    </r>
    <r>
      <rPr>
        <sz val="10"/>
        <rFont val="맑은 고딕"/>
        <family val="0"/>
        <charset val="1"/>
      </rPr>
      <t xml:space="preserve">sophia@sophia.com)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</si>
  <si>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내 예약 조회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예약번호 </t>
    </r>
    <r>
      <rPr>
        <sz val="10"/>
        <rFont val="맑은 고딕"/>
        <family val="0"/>
        <charset val="1"/>
      </rPr>
      <t xml:space="preserve">RSV-199A1DB7 + </t>
    </r>
    <r>
      <rPr>
        <sz val="10"/>
        <rFont val="Noto Sans CJK SC"/>
        <family val="2"/>
      </rPr>
      <t xml:space="preserve">이메일 </t>
    </r>
    <r>
      <rPr>
        <sz val="10"/>
        <rFont val="맑은 고딕"/>
        <family val="0"/>
        <charset val="1"/>
      </rPr>
      <t xml:space="preserve">SOPHIA@sophia.com(</t>
    </r>
    <r>
      <rPr>
        <sz val="10"/>
        <rFont val="Noto Sans CJK SC"/>
        <family val="2"/>
      </rPr>
      <t xml:space="preserve">대문자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입력 후 조회</t>
    </r>
  </si>
  <si>
    <r>
      <rPr>
        <sz val="10"/>
        <rFont val="Noto Sans CJK SC"/>
        <family val="2"/>
      </rPr>
      <t xml:space="preserve">예약 상세 정상 표시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상태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예약 확정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</si>
  <si>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Noto Sans CJK SC"/>
        <family val="2"/>
      </rPr>
      <t xml:space="preserve">예약 상세 표시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로그 </t>
    </r>
    <r>
      <rPr>
        <sz val="10"/>
        <rFont val="맑은 고딕"/>
        <family val="0"/>
        <charset val="1"/>
      </rPr>
      <t xml:space="preserve">status=200). </t>
    </r>
    <r>
      <rPr>
        <sz val="10"/>
        <rFont val="Noto Sans CJK SC"/>
        <family val="2"/>
      </rPr>
      <t xml:space="preserve">참고</t>
    </r>
    <r>
      <rPr>
        <sz val="10"/>
        <rFont val="맑은 고딕"/>
        <family val="0"/>
        <charset val="1"/>
      </rPr>
      <t xml:space="preserve">: 'SOPHIA'</t>
    </r>
    <r>
      <rPr>
        <sz val="10"/>
        <rFont val="Noto Sans CJK SC"/>
        <family val="2"/>
      </rPr>
      <t xml:space="preserve">만 입력 시 </t>
    </r>
    <r>
      <rPr>
        <sz val="10"/>
        <rFont val="맑은 고딕"/>
        <family val="0"/>
        <charset val="1"/>
      </rPr>
      <t xml:space="preserve">404</t>
    </r>
  </si>
  <si>
    <r>
      <rPr>
        <sz val="10"/>
        <rFont val="맑은 고딕"/>
        <family val="0"/>
        <charset val="1"/>
      </rPr>
      <t xml:space="preserve">'R1' </t>
    </r>
    <r>
      <rPr>
        <sz val="10"/>
        <rFont val="Noto Sans CJK SC"/>
        <family val="2"/>
      </rPr>
      <t xml:space="preserve">같은 내부 약어 대신 실제 예약번호로 기재</t>
    </r>
  </si>
  <si>
    <r>
      <rPr>
        <sz val="9"/>
        <color rgb="FF888888"/>
        <rFont val="맑은 고딕"/>
        <family val="0"/>
        <charset val="1"/>
      </rPr>
      <t xml:space="preserve">my.html</t>
    </r>
    <r>
      <rPr>
        <sz val="9"/>
        <color rgb="FF888888"/>
        <rFont val="Noto Sans CJK SC"/>
        <family val="2"/>
      </rPr>
      <t xml:space="preserve">에서 </t>
    </r>
    <r>
      <rPr>
        <sz val="9"/>
        <color rgb="FF888888"/>
        <rFont val="맑은 고딕"/>
        <family val="0"/>
        <charset val="1"/>
      </rPr>
      <t xml:space="preserve">lookup-id=R1 </t>
    </r>
    <r>
      <rPr>
        <sz val="9"/>
        <color rgb="FF888888"/>
        <rFont val="Noto Sans CJK SC"/>
        <family val="2"/>
      </rPr>
      <t xml:space="preserve">번호</t>
    </r>
    <r>
      <rPr>
        <sz val="9"/>
        <color rgb="FF888888"/>
        <rFont val="맑은 고딕"/>
        <family val="0"/>
        <charset val="1"/>
      </rPr>
      <t xml:space="preserve">, lookup-email=HONG@TEST.COM → lookup-submit</t>
    </r>
  </si>
  <si>
    <t xml:space="preserve">TC-26</t>
  </si>
  <si>
    <r>
      <rPr>
        <sz val="10"/>
        <rFont val="Noto Sans CJK SC"/>
        <family val="2"/>
      </rPr>
      <t xml:space="preserve">조회 시 이메일 불일치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누락</t>
    </r>
  </si>
  <si>
    <t xml:space="preserve">① GET /api/reservations/{R1}?email=other@test.com
② GET /api/reservations/{R1}
③ GET /api/reservations/RSV-00000000?email=hong@test.com</t>
  </si>
  <si>
    <r>
      <rPr>
        <sz val="10"/>
        <rFont val="맑은 고딕"/>
        <family val="0"/>
        <charset val="1"/>
      </rPr>
      <t xml:space="preserve">①: 404 NOT_FOUND. ②: 400 VALIDATION_ERROR. ③: 404 NOT_FOUND. ①</t>
    </r>
    <r>
      <rPr>
        <sz val="10"/>
        <rFont val="Noto Sans CJK SC"/>
        <family val="2"/>
      </rPr>
      <t xml:space="preserve">의 응답 본문에 예약 정보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이름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전화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미포함</t>
    </r>
  </si>
  <si>
    <t xml:space="preserve">TC-27</t>
  </si>
  <si>
    <t xml:space="preserve">예약 취소 확정</t>
  </si>
  <si>
    <r>
      <rPr>
        <sz val="10"/>
        <rFont val="맑은 고딕"/>
        <family val="0"/>
        <charset val="1"/>
      </rPr>
      <t xml:space="preserve">R1 </t>
    </r>
    <r>
      <rPr>
        <sz val="10"/>
        <rFont val="Noto Sans CJK SC"/>
        <family val="2"/>
      </rPr>
      <t xml:space="preserve">생성</t>
    </r>
    <r>
      <rPr>
        <sz val="10"/>
        <rFont val="맑은 고딕"/>
        <family val="0"/>
        <charset val="1"/>
      </rPr>
      <t xml:space="preserve">, my.html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R1 </t>
    </r>
    <r>
      <rPr>
        <sz val="10"/>
        <rFont val="Noto Sans CJK SC"/>
        <family val="2"/>
      </rPr>
      <t xml:space="preserve">조회 완료</t>
    </r>
  </si>
  <si>
    <r>
      <rPr>
        <sz val="10"/>
        <rFont val="맑은 고딕"/>
        <family val="0"/>
        <charset val="1"/>
      </rPr>
      <t xml:space="preserve">cancel-btn → cancel-confirm </t>
    </r>
    <r>
      <rPr>
        <sz val="10"/>
        <rFont val="Noto Sans CJK SC"/>
        <family val="2"/>
      </rPr>
      <t xml:space="preserve">패널 노출 확인 → </t>
    </r>
    <r>
      <rPr>
        <sz val="10"/>
        <rFont val="맑은 고딕"/>
        <family val="0"/>
        <charset val="1"/>
      </rPr>
      <t xml:space="preserve">cancel-confirm-yes</t>
    </r>
  </si>
  <si>
    <r>
      <rPr>
        <sz val="10"/>
        <rFont val="맑은 고딕"/>
        <family val="0"/>
        <charset val="1"/>
      </rPr>
      <t xml:space="preserve">cancel-result </t>
    </r>
    <r>
      <rPr>
        <sz val="10"/>
        <rFont val="Noto Sans CJK SC"/>
        <family val="2"/>
      </rPr>
      <t xml:space="preserve">표시</t>
    </r>
    <r>
      <rPr>
        <sz val="10"/>
        <rFont val="맑은 고딕"/>
        <family val="0"/>
        <charset val="1"/>
      </rPr>
      <t xml:space="preserve">. reservation-status </t>
    </r>
    <r>
      <rPr>
        <sz val="10"/>
        <rFont val="Noto Sans CJK SC"/>
        <family val="2"/>
      </rPr>
      <t xml:space="preserve">텍스트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취소됨</t>
    </r>
    <r>
      <rPr>
        <sz val="10"/>
        <rFont val="맑은 고딕"/>
        <family val="0"/>
        <charset val="1"/>
      </rPr>
      <t xml:space="preserve">", data-status=CANCELLED. reservation-cancelled-at </t>
    </r>
    <r>
      <rPr>
        <sz val="10"/>
        <rFont val="Noto Sans CJK SC"/>
        <family val="2"/>
      </rPr>
      <t xml:space="preserve">값 표시</t>
    </r>
    <r>
      <rPr>
        <sz val="10"/>
        <rFont val="맑은 고딕"/>
        <family val="0"/>
        <charset val="1"/>
      </rPr>
      <t xml:space="preserve">. DB status=CANCELLED, cancelled_at NOT NULL</t>
    </r>
  </si>
  <si>
    <r>
      <rPr>
        <sz val="10"/>
        <rFont val="Noto Sans CJK SC"/>
        <family val="2"/>
      </rPr>
      <t xml:space="preserve">취소 후 상태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취소됨</t>
    </r>
    <r>
      <rPr>
        <sz val="10"/>
        <rFont val="맑은 고딕"/>
        <family val="0"/>
        <charset val="1"/>
      </rPr>
      <t xml:space="preserve">', </t>
    </r>
    <r>
      <rPr>
        <sz val="10"/>
        <rFont val="Noto Sans CJK SC"/>
        <family val="2"/>
      </rPr>
      <t xml:space="preserve">로그 </t>
    </r>
    <r>
      <rPr>
        <sz val="10"/>
        <rFont val="맑은 고딕"/>
        <family val="0"/>
        <charset val="1"/>
      </rPr>
      <t xml:space="preserve">status=CANCELLED (RSV-199A1DB7)</t>
    </r>
  </si>
  <si>
    <t xml:space="preserve">TC-28</t>
  </si>
  <si>
    <t xml:space="preserve">취소 확인 패널에서 철회</t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</si>
  <si>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내 예약 조회 → 예약 상세 진입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예약 취소 클릭 → 확인 패널 노출 확인
</t>
    </r>
    <r>
      <rPr>
        <sz val="10"/>
        <rFont val="맑은 고딕"/>
        <family val="0"/>
        <charset val="1"/>
      </rPr>
      <t xml:space="preserve">3. '</t>
    </r>
    <r>
      <rPr>
        <sz val="10"/>
        <rFont val="Noto Sans CJK SC"/>
        <family val="2"/>
      </rPr>
      <t xml:space="preserve">아니요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클릭</t>
    </r>
  </si>
  <si>
    <r>
      <rPr>
        <sz val="10"/>
        <rFont val="Noto Sans CJK SC"/>
        <family val="2"/>
      </rPr>
      <t xml:space="preserve">확인 패널 닫힘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상태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예약 확정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유지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취소 요청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로그 </t>
    </r>
    <r>
      <rPr>
        <sz val="10"/>
        <rFont val="맑은 고딕"/>
        <family val="0"/>
        <charset val="1"/>
      </rPr>
      <t xml:space="preserve">/cancel) </t>
    </r>
    <r>
      <rPr>
        <sz val="10"/>
        <rFont val="Noto Sans CJK SC"/>
        <family val="2"/>
      </rPr>
      <t xml:space="preserve">없음</t>
    </r>
  </si>
  <si>
    <r>
      <rPr>
        <sz val="10"/>
        <rFont val="Noto Sans CJK SC"/>
        <family val="2"/>
      </rPr>
      <t xml:space="preserve">패널 닫힘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예약 확정 유지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로그에 </t>
    </r>
    <r>
      <rPr>
        <sz val="10"/>
        <rFont val="맑은 고딕"/>
        <family val="0"/>
        <charset val="1"/>
      </rPr>
      <t xml:space="preserve">/cancel </t>
    </r>
    <r>
      <rPr>
        <sz val="10"/>
        <rFont val="Noto Sans CJK SC"/>
        <family val="2"/>
      </rPr>
      <t xml:space="preserve">없음</t>
    </r>
  </si>
  <si>
    <r>
      <rPr>
        <sz val="10"/>
        <rFont val="Noto Sans CJK SC"/>
        <family val="2"/>
      </rPr>
      <t xml:space="preserve">리뷰 초안에 </t>
    </r>
    <r>
      <rPr>
        <sz val="10"/>
        <rFont val="맑은 고딕"/>
        <family val="0"/>
        <charset val="1"/>
      </rPr>
      <t xml:space="preserve">TC-27(</t>
    </r>
    <r>
      <rPr>
        <sz val="10"/>
        <rFont val="Noto Sans CJK SC"/>
        <family val="2"/>
      </rPr>
      <t xml:space="preserve">실제 취소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확인 항목이 섞여 있어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철회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만 확인하도록 분리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확인 </t>
    </r>
    <r>
      <rPr>
        <sz val="10"/>
        <rFont val="맑은 고딕"/>
        <family val="0"/>
        <charset val="1"/>
      </rPr>
      <t xml:space="preserve">UI</t>
    </r>
    <r>
      <rPr>
        <sz val="10"/>
        <rFont val="Noto Sans CJK SC"/>
        <family val="2"/>
      </rPr>
      <t xml:space="preserve">는 브라우저 팝업이 아닌 페이지 내 패널</t>
    </r>
  </si>
  <si>
    <t xml:space="preserve">cancel-btn → cancel-confirm-no</t>
  </si>
  <si>
    <t xml:space="preserve">TC-29</t>
  </si>
  <si>
    <t xml:space="preserve">이미 취소된 예약 재취소</t>
  </si>
  <si>
    <r>
      <rPr>
        <sz val="10"/>
        <rFont val="맑은 고딕"/>
        <family val="0"/>
        <charset val="1"/>
      </rPr>
      <t xml:space="preserve">R1 </t>
    </r>
    <r>
      <rPr>
        <sz val="10"/>
        <rFont val="Noto Sans CJK SC"/>
        <family val="2"/>
      </rPr>
      <t xml:space="preserve">생성 후 취소</t>
    </r>
    <r>
      <rPr>
        <sz val="10"/>
        <rFont val="맑은 고딕"/>
        <family val="0"/>
        <charset val="1"/>
      </rPr>
      <t xml:space="preserve">(cancelled_at </t>
    </r>
    <r>
      <rPr>
        <sz val="10"/>
        <rFont val="Noto Sans CJK SC"/>
        <family val="2"/>
      </rPr>
      <t xml:space="preserve">값 기록</t>
    </r>
    <r>
      <rPr>
        <sz val="10"/>
        <rFont val="맑은 고딕"/>
        <family val="0"/>
        <charset val="1"/>
      </rPr>
      <t xml:space="preserve">)</t>
    </r>
  </si>
  <si>
    <t xml:space="preserve">POST /api/reservations/{R1}/cancel {"email":"hong@test.com"}</t>
  </si>
  <si>
    <r>
      <rPr>
        <sz val="10"/>
        <rFont val="맑은 고딕"/>
        <family val="0"/>
        <charset val="1"/>
      </rPr>
      <t xml:space="preserve">409 ALREADY_CANCELLED. DB cancelled_at</t>
    </r>
    <r>
      <rPr>
        <sz val="10"/>
        <rFont val="Noto Sans CJK SC"/>
        <family val="2"/>
      </rPr>
      <t xml:space="preserve">이 첫 취소 시각과 동일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갱신 안 됨</t>
    </r>
    <r>
      <rPr>
        <sz val="10"/>
        <rFont val="맑은 고딕"/>
        <family val="0"/>
        <charset val="1"/>
      </rPr>
      <t xml:space="preserve">)</t>
    </r>
  </si>
  <si>
    <t xml:space="preserve">TC-30</t>
  </si>
  <si>
    <r>
      <rPr>
        <sz val="10"/>
        <rFont val="Noto Sans CJK SC"/>
        <family val="2"/>
      </rPr>
      <t xml:space="preserve">체크인 당일 취소 불가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전날 가능</t>
    </r>
  </si>
  <si>
    <r>
      <rPr>
        <sz val="10"/>
        <rFont val="Noto Sans CJK SC"/>
        <family val="2"/>
      </rPr>
      <t xml:space="preserve">체크인 당일부터는 취소 불가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정책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</si>
  <si>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제주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오늘</t>
    </r>
    <r>
      <rPr>
        <sz val="10"/>
        <rFont val="맑은 고딕"/>
        <family val="0"/>
        <charset val="1"/>
      </rPr>
      <t xml:space="preserve">(10/8) ~ 10/11 </t>
    </r>
    <r>
      <rPr>
        <sz val="10"/>
        <rFont val="Noto Sans CJK SC"/>
        <family val="2"/>
      </rPr>
      <t xml:space="preserve">예약 생성 </t>
    </r>
    <r>
      <rPr>
        <sz val="10"/>
        <rFont val="맑은 고딕"/>
        <family val="0"/>
        <charset val="1"/>
      </rPr>
      <t xml:space="preserve">(RSV-26FFE469)
2. </t>
    </r>
    <r>
      <rPr>
        <sz val="10"/>
        <rFont val="Noto Sans CJK SC"/>
        <family val="2"/>
      </rPr>
      <t xml:space="preserve">내 예약 조회 → 예약 취소 →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예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</si>
  <si>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체크인 당일 이후에는 예약을 취소할 수 없습니다</t>
    </r>
    <r>
      <rPr>
        <sz val="10"/>
        <rFont val="맑은 고딕"/>
        <family val="0"/>
        <charset val="1"/>
      </rPr>
      <t xml:space="preserve">.' </t>
    </r>
    <r>
      <rPr>
        <sz val="10"/>
        <rFont val="Noto Sans CJK SC"/>
        <family val="2"/>
      </rPr>
      <t xml:space="preserve">표시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상태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예약 확정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유지</t>
    </r>
  </si>
  <si>
    <r>
      <rPr>
        <sz val="10"/>
        <rFont val="Noto Sans CJK SC"/>
        <family val="2"/>
      </rPr>
      <t xml:space="preserve">에러 메시지 표시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상태 유지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로그 </t>
    </r>
    <r>
      <rPr>
        <sz val="10"/>
        <rFont val="맑은 고딕"/>
        <family val="0"/>
        <charset val="1"/>
      </rPr>
      <t xml:space="preserve">status=409 CANCELLATION_CLOSED
(</t>
    </r>
    <r>
      <rPr>
        <sz val="10"/>
        <rFont val="Noto Sans CJK SC"/>
        <family val="2"/>
      </rPr>
      <t xml:space="preserve">체크인 전 예약 취소 허용은 </t>
    </r>
    <r>
      <rPr>
        <sz val="10"/>
        <rFont val="맑은 고딕"/>
        <family val="0"/>
        <charset val="1"/>
      </rPr>
      <t xml:space="preserve">RSV-199A1DB7</t>
    </r>
    <r>
      <rPr>
        <sz val="10"/>
        <rFont val="Noto Sans CJK SC"/>
        <family val="2"/>
      </rPr>
      <t xml:space="preserve">로 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</si>
  <si>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원문은 </t>
    </r>
    <r>
      <rPr>
        <sz val="10"/>
        <rFont val="맑은 고딕"/>
        <family val="0"/>
        <charset val="1"/>
      </rPr>
      <t xml:space="preserve">API </t>
    </r>
    <r>
      <rPr>
        <sz val="10"/>
        <rFont val="Noto Sans CJK SC"/>
        <family val="2"/>
      </rPr>
      <t xml:space="preserve">전용 절차 → 화면으로 재현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핵심은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취소 성공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이 아니라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당일 취소 차단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임을 절차에 명확히 표기</t>
    </r>
  </si>
  <si>
    <r>
      <rPr>
        <sz val="9"/>
        <color rgb="FF888888"/>
        <rFont val="맑은 고딕"/>
        <family val="0"/>
        <charset val="1"/>
      </rPr>
      <t xml:space="preserve">A, B </t>
    </r>
    <r>
      <rPr>
        <sz val="9"/>
        <color rgb="FF888888"/>
        <rFont val="Noto Sans CJK SC"/>
        <family val="2"/>
      </rPr>
      <t xml:space="preserve">각각 </t>
    </r>
    <r>
      <rPr>
        <sz val="9"/>
        <color rgb="FF888888"/>
        <rFont val="맑은 고딕"/>
        <family val="0"/>
        <charset val="1"/>
      </rPr>
      <t xml:space="preserve">POST /cancel (</t>
    </r>
    <r>
      <rPr>
        <sz val="9"/>
        <color rgb="FF888888"/>
        <rFont val="Noto Sans CJK SC"/>
        <family val="2"/>
      </rPr>
      <t xml:space="preserve">올바른 이메일</t>
    </r>
    <r>
      <rPr>
        <sz val="9"/>
        <color rgb="FF888888"/>
        <rFont val="맑은 고딕"/>
        <family val="0"/>
        <charset val="1"/>
      </rPr>
      <t xml:space="preserve">)</t>
    </r>
  </si>
  <si>
    <t xml:space="preserve">TC-31</t>
  </si>
  <si>
    <r>
      <rPr>
        <sz val="10"/>
        <rFont val="맑은 고딕"/>
        <family val="0"/>
        <charset val="1"/>
      </rPr>
      <t xml:space="preserve">QA</t>
    </r>
    <r>
      <rPr>
        <sz val="10"/>
        <rFont val="Noto Sans CJK SC"/>
        <family val="2"/>
      </rPr>
      <t xml:space="preserve">추가</t>
    </r>
  </si>
  <si>
    <r>
      <rPr>
        <sz val="10"/>
        <rFont val="Noto Sans CJK SC"/>
        <family val="2"/>
      </rPr>
      <t xml:space="preserve">예약</t>
    </r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조회 화면 간 금액 일치</t>
    </r>
  </si>
  <si>
    <t xml:space="preserve">총 결제 금액은 모든 화면에서 동일해야 함</t>
  </si>
  <si>
    <r>
      <rPr>
        <sz val="10"/>
        <rFont val="맑은 고딕"/>
        <family val="0"/>
        <charset val="1"/>
      </rPr>
      <t xml:space="preserve">1. TC-14</t>
    </r>
    <r>
      <rPr>
        <sz val="10"/>
        <rFont val="Noto Sans CJK SC"/>
        <family val="2"/>
      </rPr>
      <t xml:space="preserve">와 동일하게 예약 생성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예약 정보 입력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예약 완료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내 예약 조회 화면의 총 결제 금액 비교</t>
    </r>
  </si>
  <si>
    <r>
      <rPr>
        <sz val="10"/>
        <rFont val="Noto Sans CJK SC"/>
        <family val="2"/>
      </rPr>
      <t xml:space="preserve">모든 화면 </t>
    </r>
    <r>
      <rPr>
        <sz val="10"/>
        <rFont val="맑은 고딕"/>
        <family val="0"/>
        <charset val="1"/>
      </rPr>
      <t xml:space="preserve">390,000</t>
    </r>
    <r>
      <rPr>
        <sz val="10"/>
        <rFont val="Noto Sans CJK SC"/>
        <family val="2"/>
      </rPr>
      <t xml:space="preserve">원</t>
    </r>
  </si>
  <si>
    <r>
      <rPr>
        <sz val="10"/>
        <rFont val="Noto Sans CJK SC"/>
        <family val="2"/>
      </rPr>
      <t xml:space="preserve">예약 정보 입력 </t>
    </r>
    <r>
      <rPr>
        <sz val="10"/>
        <rFont val="맑은 고딕"/>
        <family val="0"/>
        <charset val="1"/>
      </rPr>
      <t xml:space="preserve">390,000</t>
    </r>
    <r>
      <rPr>
        <sz val="10"/>
        <rFont val="Noto Sans CJK SC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조회 화면 </t>
    </r>
    <r>
      <rPr>
        <sz val="10"/>
        <rFont val="맑은 고딕"/>
        <family val="0"/>
        <charset val="1"/>
      </rPr>
      <t xml:space="preserve">520,000</t>
    </r>
    <r>
      <rPr>
        <sz val="10"/>
        <rFont val="Noto Sans CJK SC"/>
        <family val="2"/>
      </rPr>
      <t xml:space="preserve">원 </t>
    </r>
    <r>
      <rPr>
        <sz val="10"/>
        <rFont val="맑은 고딕"/>
        <family val="0"/>
        <charset val="1"/>
      </rPr>
      <t xml:space="preserve">(RSV-26FFE469)</t>
    </r>
  </si>
  <si>
    <r>
      <rPr>
        <sz val="10"/>
        <rFont val="맑은 고딕"/>
        <family val="0"/>
        <charset val="1"/>
      </rPr>
      <t xml:space="preserve">AI </t>
    </r>
    <r>
      <rPr>
        <sz val="10"/>
        <rFont val="Noto Sans CJK SC"/>
        <family val="2"/>
      </rPr>
      <t xml:space="preserve">생성 </t>
    </r>
    <r>
      <rPr>
        <sz val="10"/>
        <rFont val="맑은 고딕"/>
        <family val="0"/>
        <charset val="1"/>
      </rPr>
      <t xml:space="preserve">TC</t>
    </r>
    <r>
      <rPr>
        <sz val="10"/>
        <rFont val="Noto Sans CJK SC"/>
        <family val="2"/>
      </rPr>
      <t xml:space="preserve">에 없던 화면 간 정합성 관점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고객이 예약 때와 다른 금액을 보게 됨</t>
    </r>
  </si>
  <si>
    <t xml:space="preserve">TC-32</t>
  </si>
  <si>
    <r>
      <rPr>
        <sz val="10"/>
        <rFont val="Noto Sans CJK SC"/>
        <family val="2"/>
      </rPr>
      <t xml:space="preserve">기존 예약 앞쪽에 걸치는 기간 예약 </t>
    </r>
    <r>
      <rPr>
        <sz val="10"/>
        <rFont val="맑은 고딕"/>
        <family val="0"/>
        <charset val="1"/>
      </rPr>
      <t xml:space="preserve">(UI </t>
    </r>
    <r>
      <rPr>
        <sz val="10"/>
        <rFont val="Noto Sans CJK SC"/>
        <family val="2"/>
      </rPr>
      <t xml:space="preserve">우회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</si>
  <si>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같은 객실은 기간이 겹치면 예약 불가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정책</t>
    </r>
    <r>
      <rPr>
        <sz val="10"/>
        <rFont val="맑은 고딕"/>
        <family val="0"/>
        <charset val="1"/>
      </rPr>
      <t xml:space="preserve">)
</t>
    </r>
    <r>
      <rPr>
        <sz val="10"/>
        <rFont val="Noto Sans CJK SC"/>
        <family val="2"/>
      </rPr>
      <t xml:space="preserve">객실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11/1~11/3 </t>
    </r>
    <r>
      <rPr>
        <sz val="10"/>
        <rFont val="Noto Sans CJK SC"/>
        <family val="2"/>
      </rPr>
      <t xml:space="preserve">예약 존재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</si>
  <si>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주소창에 직접 입력하여 예약 화면 진입
   </t>
    </r>
    <r>
      <rPr>
        <sz val="10"/>
        <rFont val="맑은 고딕"/>
        <family val="0"/>
        <charset val="1"/>
      </rPr>
      <t xml:space="preserve">localhost:3000/book.html?hotelId=1&amp;roomId=1&amp;checkIn=2026-10-31&amp;checkOut=2026-11-02&amp;guests=2
2. </t>
    </r>
    <r>
      <rPr>
        <sz val="10"/>
        <rFont val="Noto Sans CJK SC"/>
        <family val="2"/>
      </rPr>
      <t xml:space="preserve">정보 입력 후 예약 확정</t>
    </r>
  </si>
  <si>
    <r>
      <rPr>
        <sz val="10"/>
        <rFont val="맑은 고딕"/>
        <family val="0"/>
        <charset val="1"/>
      </rPr>
      <t xml:space="preserve">409 </t>
    </r>
    <r>
      <rPr>
        <sz val="10"/>
        <rFont val="Noto Sans CJK SC"/>
        <family val="2"/>
      </rPr>
      <t xml:space="preserve">에러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예약 생성 안 됨</t>
    </r>
  </si>
  <si>
    <r>
      <rPr>
        <sz val="10"/>
        <rFont val="맑은 고딕"/>
        <family val="0"/>
        <charset val="1"/>
      </rPr>
      <t xml:space="preserve">201 </t>
    </r>
    <r>
      <rPr>
        <sz val="10"/>
        <rFont val="Noto Sans CJK SC"/>
        <family val="2"/>
      </rPr>
      <t xml:space="preserve">성공</t>
    </r>
    <r>
      <rPr>
        <sz val="10"/>
        <rFont val="맑은 고딕"/>
        <family val="0"/>
        <charset val="1"/>
      </rPr>
      <t xml:space="preserve">, RSV-E71EEA68 </t>
    </r>
    <r>
      <rPr>
        <sz val="10"/>
        <rFont val="Noto Sans CJK SC"/>
        <family val="2"/>
      </rPr>
      <t xml:space="preserve">생성 → </t>
    </r>
    <r>
      <rPr>
        <sz val="10"/>
        <rFont val="맑은 고딕"/>
        <family val="0"/>
        <charset val="1"/>
      </rPr>
      <t xml:space="preserve">11/1 </t>
    </r>
    <r>
      <rPr>
        <sz val="10"/>
        <rFont val="Noto Sans CJK SC"/>
        <family val="2"/>
      </rPr>
      <t xml:space="preserve">숙박일 이중 예약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로그 </t>
    </r>
    <r>
      <rPr>
        <sz val="10"/>
        <rFont val="맑은 고딕"/>
        <family val="0"/>
        <charset val="1"/>
      </rPr>
      <t xml:space="preserve">16:21:46)</t>
    </r>
  </si>
  <si>
    <t xml:space="preserve">#2</t>
  </si>
  <si>
    <r>
      <rPr>
        <sz val="10"/>
        <rFont val="Noto Sans CJK SC"/>
        <family val="2"/>
      </rPr>
      <t xml:space="preserve">객실 목록 화면은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예약 불가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정상 표시 → 화면만 검증했다면 놓쳤을 결함</t>
    </r>
    <r>
      <rPr>
        <sz val="10"/>
        <rFont val="맑은 고딕"/>
        <family val="0"/>
        <charset val="1"/>
      </rPr>
      <t xml:space="preserve">. URL </t>
    </r>
    <r>
      <rPr>
        <sz val="10"/>
        <rFont val="Noto Sans CJK SC"/>
        <family val="2"/>
      </rPr>
      <t xml:space="preserve">조작으로 서버 검증 확인</t>
    </r>
  </si>
  <si>
    <t xml:space="preserve">TC-33</t>
  </si>
  <si>
    <t xml:space="preserve">해외 전화번호 입력</t>
  </si>
  <si>
    <r>
      <rPr>
        <sz val="10"/>
        <rFont val="Noto Sans CJK SC"/>
        <family val="2"/>
      </rPr>
      <t xml:space="preserve">전화번호 입력 정책 미정의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이름은 영문 허용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</si>
  <si>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예약 정보 입력 화면 진입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이름 </t>
    </r>
    <r>
      <rPr>
        <sz val="10"/>
        <rFont val="맑은 고딕"/>
        <family val="0"/>
        <charset val="1"/>
      </rPr>
      <t xml:space="preserve">'Hyesoo chae', </t>
    </r>
    <r>
      <rPr>
        <sz val="10"/>
        <rFont val="Noto Sans CJK SC"/>
        <family val="2"/>
      </rPr>
      <t xml:space="preserve">전화번호 </t>
    </r>
    <r>
      <rPr>
        <sz val="10"/>
        <rFont val="맑은 고딕"/>
        <family val="0"/>
        <charset val="1"/>
      </rPr>
      <t xml:space="preserve">07349312262(</t>
    </r>
    <r>
      <rPr>
        <sz val="10"/>
        <rFont val="Noto Sans CJK SC"/>
        <family val="2"/>
      </rPr>
      <t xml:space="preserve">영국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입력 후 예약 확정</t>
    </r>
  </si>
  <si>
    <t xml:space="preserve">정책 확인 필요</t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</si>
  <si>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전화번호 형식이 올바르지 않습니다</t>
    </r>
    <r>
      <rPr>
        <sz val="10"/>
        <rFont val="맑은 고딕"/>
        <family val="0"/>
        <charset val="1"/>
      </rPr>
      <t xml:space="preserve">.' </t>
    </r>
    <r>
      <rPr>
        <sz val="10"/>
        <rFont val="Noto Sans CJK SC"/>
        <family val="2"/>
      </rPr>
      <t xml:space="preserve">표시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예약 불가</t>
    </r>
  </si>
  <si>
    <t xml:space="preserve">확인필요</t>
  </si>
  <si>
    <t xml:space="preserve">#4</t>
  </si>
  <si>
    <r>
      <rPr>
        <sz val="10"/>
        <rFont val="Noto Sans CJK SC"/>
        <family val="2"/>
      </rPr>
      <t xml:space="preserve">이름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영문 허용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과 전화번호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국내 형식만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정책 불일치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여행 서비스 특성상 해외 사용자 고려 필요</t>
    </r>
  </si>
  <si>
    <t xml:space="preserve">TC-34</t>
  </si>
  <si>
    <t xml:space="preserve">로그</t>
  </si>
  <si>
    <t xml:space="preserve">로그 내 개인정보 마스킹</t>
  </si>
  <si>
    <t xml:space="preserve">개인정보는 마스킹하여 기록</t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</si>
  <si>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예약 생성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조회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취소 수행
</t>
    </r>
    <r>
      <rPr>
        <sz val="10"/>
        <rFont val="맑은 고딕"/>
        <family val="0"/>
        <charset val="1"/>
      </rPr>
      <t xml:space="preserve">2. logs/app.log </t>
    </r>
    <r>
      <rPr>
        <sz val="10"/>
        <rFont val="Noto Sans CJK SC"/>
        <family val="2"/>
      </rPr>
      <t xml:space="preserve">확인</t>
    </r>
  </si>
  <si>
    <r>
      <rPr>
        <sz val="10"/>
        <rFont val="Noto Sans CJK SC"/>
        <family val="2"/>
      </rPr>
      <t xml:space="preserve">이름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전화번호 마스킹 기록</t>
    </r>
  </si>
  <si>
    <r>
      <rPr>
        <sz val="10"/>
        <rFont val="Noto Sans CJK SC"/>
        <family val="2"/>
      </rPr>
      <t xml:space="preserve">이름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전화번호 평문 기록</t>
    </r>
  </si>
  <si>
    <t xml:space="preserve">#3</t>
  </si>
  <si>
    <t xml:space="preserve">기능 테스트만으로는 드러나지 않는 비기능 결함</t>
  </si>
  <si>
    <t xml:space="preserve">TC-35</t>
  </si>
  <si>
    <t xml:space="preserve">예약 확정 버튼 더블 클릭</t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</si>
  <si>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회 클릭 </t>
    </r>
    <r>
      <rPr>
        <sz val="10"/>
        <rFont val="맑은 고딕"/>
        <family val="0"/>
        <charset val="1"/>
      </rPr>
      <t xml:space="preserve">= 1</t>
    </r>
    <r>
      <rPr>
        <sz val="10"/>
        <rFont val="Noto Sans CJK SC"/>
        <family val="2"/>
      </rPr>
      <t xml:space="preserve">건 예약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</si>
  <si>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예약 정보 입력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예약 확정 버튼 빠르게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회 클릭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로그 </t>
    </r>
    <r>
      <rPr>
        <sz val="10"/>
        <rFont val="맑은 고딕"/>
        <family val="0"/>
        <charset val="1"/>
      </rPr>
      <t xml:space="preserve">POST /api/reservations </t>
    </r>
    <r>
      <rPr>
        <sz val="10"/>
        <rFont val="Noto Sans CJK SC"/>
        <family val="2"/>
      </rPr>
      <t xml:space="preserve">건수 확인</t>
    </r>
  </si>
  <si>
    <r>
      <rPr>
        <sz val="10"/>
        <rFont val="Noto Sans CJK SC"/>
        <family val="2"/>
      </rPr>
      <t xml:space="preserve">예약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건만 생성</t>
    </r>
  </si>
  <si>
    <r>
      <rPr>
        <sz val="10"/>
        <rFont val="Noto Sans CJK SC"/>
        <family val="2"/>
      </rPr>
      <t xml:space="preserve">실무 빈출 결함 유형</t>
    </r>
    <r>
      <rPr>
        <sz val="10"/>
        <rFont val="맑은 고딕"/>
        <family val="0"/>
        <charset val="1"/>
      </rPr>
      <t xml:space="preserve">. AI </t>
    </r>
    <r>
      <rPr>
        <sz val="10"/>
        <rFont val="Noto Sans CJK SC"/>
        <family val="2"/>
      </rPr>
      <t xml:space="preserve">미생성</t>
    </r>
  </si>
  <si>
    <t xml:space="preserve">TC-36</t>
  </si>
  <si>
    <r>
      <rPr>
        <sz val="10"/>
        <rFont val="Noto Sans CJK SC"/>
        <family val="2"/>
      </rPr>
      <t xml:space="preserve">예약 완료 후 뒤로 가기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새로고침</t>
    </r>
  </si>
  <si>
    <t xml:space="preserve">완료 후 재제출 없음</t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</si>
  <si>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예약 완료 화면 진입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새로고침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뒤로 가기 후 다시 앞으로</t>
    </r>
  </si>
  <si>
    <t xml:space="preserve">추가 예약 생성 안 됨</t>
  </si>
  <si>
    <r>
      <rPr>
        <sz val="10"/>
        <rFont val="맑은 고딕"/>
        <family val="0"/>
        <charset val="1"/>
      </rPr>
      <t xml:space="preserve">AI </t>
    </r>
    <r>
      <rPr>
        <sz val="10"/>
        <rFont val="Noto Sans CJK SC"/>
        <family val="2"/>
      </rPr>
      <t xml:space="preserve">미생성</t>
    </r>
  </si>
  <si>
    <t xml:space="preserve">TC-37</t>
  </si>
  <si>
    <r>
      <rPr>
        <sz val="10"/>
        <rFont val="Noto Sans CJK SC"/>
        <family val="2"/>
      </rPr>
      <t xml:space="preserve">기존 예약을 감싸는 기간 예약 </t>
    </r>
    <r>
      <rPr>
        <sz val="10"/>
        <rFont val="맑은 고딕"/>
        <family val="0"/>
        <charset val="1"/>
      </rPr>
      <t xml:space="preserve">(UI </t>
    </r>
    <r>
      <rPr>
        <sz val="10"/>
        <rFont val="Noto Sans CJK SC"/>
        <family val="2"/>
      </rPr>
      <t xml:space="preserve">우회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</si>
  <si>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객실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11/1~11/3 </t>
    </r>
    <r>
      <rPr>
        <sz val="10"/>
        <rFont val="Noto Sans CJK SC"/>
        <family val="2"/>
      </rPr>
      <t xml:space="preserve">예약 존재</t>
    </r>
  </si>
  <si>
    <r>
      <rPr>
        <sz val="10"/>
        <rFont val="맑은 고딕"/>
        <family val="0"/>
        <charset val="1"/>
      </rPr>
      <t xml:space="preserve">TC-32</t>
    </r>
    <r>
      <rPr>
        <sz val="10"/>
        <rFont val="Noto Sans CJK SC"/>
        <family val="2"/>
      </rPr>
      <t xml:space="preserve">와 동일 방식으로 </t>
    </r>
    <r>
      <rPr>
        <sz val="10"/>
        <rFont val="맑은 고딕"/>
        <family val="0"/>
        <charset val="1"/>
      </rPr>
      <t xml:space="preserve">10/31 ~ 11/4 </t>
    </r>
    <r>
      <rPr>
        <sz val="10"/>
        <rFont val="Noto Sans CJK SC"/>
        <family val="2"/>
      </rPr>
      <t xml:space="preserve">예약 시도</t>
    </r>
  </si>
  <si>
    <r>
      <rPr>
        <sz val="10"/>
        <rFont val="Noto Sans CJK SC"/>
        <family val="2"/>
      </rPr>
      <t xml:space="preserve">기간 겹침 유형 보완 </t>
    </r>
    <r>
      <rPr>
        <sz val="10"/>
        <rFont val="맑은 고딕"/>
        <family val="0"/>
        <charset val="1"/>
      </rPr>
      <t xml:space="preserve">(TC-17 </t>
    </r>
    <r>
      <rPr>
        <sz val="10"/>
        <rFont val="Noto Sans CJK SC"/>
        <family val="2"/>
      </rPr>
      <t xml:space="preserve">리뷰 결과</t>
    </r>
    <r>
      <rPr>
        <sz val="10"/>
        <rFont val="맑은 고딕"/>
        <family val="0"/>
        <charset val="1"/>
      </rPr>
      <t xml:space="preserve">)</t>
    </r>
  </si>
  <si>
    <t xml:space="preserve">TC-38</t>
  </si>
  <si>
    <r>
      <rPr>
        <sz val="10"/>
        <rFont val="Noto Sans CJK SC"/>
        <family val="2"/>
      </rPr>
      <t xml:space="preserve">기존 예약 안에 포함되는 기간 예약 </t>
    </r>
    <r>
      <rPr>
        <sz val="10"/>
        <rFont val="맑은 고딕"/>
        <family val="0"/>
        <charset val="1"/>
      </rPr>
      <t xml:space="preserve">(UI </t>
    </r>
    <r>
      <rPr>
        <sz val="10"/>
        <rFont val="Noto Sans CJK SC"/>
        <family val="2"/>
      </rPr>
      <t xml:space="preserve">우회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</si>
  <si>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TC-32</t>
    </r>
    <r>
      <rPr>
        <sz val="10"/>
        <rFont val="Noto Sans CJK SC"/>
        <family val="2"/>
      </rPr>
      <t xml:space="preserve">와 동일 방식으로 </t>
    </r>
    <r>
      <rPr>
        <sz val="10"/>
        <rFont val="맑은 고딕"/>
        <family val="0"/>
        <charset val="1"/>
      </rPr>
      <t xml:space="preserve">11/1 ~ 11/2 </t>
    </r>
    <r>
      <rPr>
        <sz val="10"/>
        <rFont val="Noto Sans CJK SC"/>
        <family val="2"/>
      </rPr>
      <t xml:space="preserve">예약 시도</t>
    </r>
  </si>
  <si>
    <r>
      <rPr>
        <b val="true"/>
        <sz val="14"/>
        <color rgb="FF2F5D62"/>
        <rFont val="맑은 고딕"/>
        <family val="0"/>
        <charset val="1"/>
      </rPr>
      <t xml:space="preserve">AI </t>
    </r>
    <r>
      <rPr>
        <b val="true"/>
        <sz val="14"/>
        <color rgb="FF2F5D62"/>
        <rFont val="Noto Sans CJK SC"/>
        <family val="2"/>
      </rPr>
      <t xml:space="preserve">생성 </t>
    </r>
    <r>
      <rPr>
        <b val="true"/>
        <sz val="14"/>
        <color rgb="FF2F5D62"/>
        <rFont val="맑은 고딕"/>
        <family val="0"/>
        <charset val="1"/>
      </rPr>
      <t xml:space="preserve">TC </t>
    </r>
    <r>
      <rPr>
        <b val="true"/>
        <sz val="14"/>
        <color rgb="FF2F5D62"/>
        <rFont val="Noto Sans CJK SC"/>
        <family val="2"/>
      </rPr>
      <t xml:space="preserve">리뷰 요약</t>
    </r>
  </si>
  <si>
    <r>
      <rPr>
        <sz val="9"/>
        <color rgb="FF888888"/>
        <rFont val="Noto Sans CJK SC"/>
        <family val="2"/>
      </rPr>
      <t xml:space="preserve">숫자는 </t>
    </r>
    <r>
      <rPr>
        <sz val="9"/>
        <color rgb="FF888888"/>
        <rFont val="맑은 고딕"/>
        <family val="0"/>
        <charset val="1"/>
      </rPr>
      <t xml:space="preserve">'</t>
    </r>
    <r>
      <rPr>
        <sz val="9"/>
        <color rgb="FF888888"/>
        <rFont val="Noto Sans CJK SC"/>
        <family val="2"/>
      </rPr>
      <t xml:space="preserve">테스트케이스</t>
    </r>
    <r>
      <rPr>
        <sz val="9"/>
        <color rgb="FF888888"/>
        <rFont val="맑은 고딕"/>
        <family val="0"/>
        <charset val="1"/>
      </rPr>
      <t xml:space="preserve">' </t>
    </r>
    <r>
      <rPr>
        <sz val="9"/>
        <color rgb="FF888888"/>
        <rFont val="Noto Sans CJK SC"/>
        <family val="2"/>
      </rPr>
      <t xml:space="preserve">시트에서 자동 집계됩니다</t>
    </r>
    <r>
      <rPr>
        <sz val="9"/>
        <color rgb="FF888888"/>
        <rFont val="맑은 고딕"/>
        <family val="0"/>
        <charset val="1"/>
      </rPr>
      <t xml:space="preserve">.</t>
    </r>
  </si>
  <si>
    <t xml:space="preserve">출처별</t>
  </si>
  <si>
    <t xml:space="preserve">건수</t>
  </si>
  <si>
    <r>
      <rPr>
        <sz val="11"/>
        <rFont val="맑은 고딕"/>
        <family val="0"/>
        <charset val="1"/>
      </rPr>
      <t xml:space="preserve">AI</t>
    </r>
    <r>
      <rPr>
        <sz val="11"/>
        <rFont val="Noto Sans CJK SC"/>
        <family val="2"/>
      </rPr>
      <t xml:space="preserve">수정</t>
    </r>
  </si>
  <si>
    <r>
      <rPr>
        <sz val="11"/>
        <rFont val="맑은 고딕"/>
        <family val="0"/>
        <charset val="1"/>
      </rPr>
      <t xml:space="preserve">QA</t>
    </r>
    <r>
      <rPr>
        <sz val="11"/>
        <rFont val="Noto Sans CJK SC"/>
        <family val="2"/>
      </rPr>
      <t xml:space="preserve">추가</t>
    </r>
  </si>
  <si>
    <t xml:space="preserve">합계</t>
  </si>
  <si>
    <t xml:space="preserve">핵심 지표</t>
  </si>
  <si>
    <r>
      <rPr>
        <sz val="11"/>
        <rFont val="맑은 고딕"/>
        <family val="0"/>
        <charset val="1"/>
      </rPr>
      <t xml:space="preserve">AI </t>
    </r>
    <r>
      <rPr>
        <sz val="11"/>
        <rFont val="Noto Sans CJK SC"/>
        <family val="2"/>
      </rPr>
      <t xml:space="preserve">생성 </t>
    </r>
    <r>
      <rPr>
        <sz val="11"/>
        <rFont val="맑은 고딕"/>
        <family val="0"/>
        <charset val="1"/>
      </rPr>
      <t xml:space="preserve">TC </t>
    </r>
    <r>
      <rPr>
        <sz val="11"/>
        <rFont val="Noto Sans CJK SC"/>
        <family val="2"/>
      </rPr>
      <t xml:space="preserve">수</t>
    </r>
  </si>
  <si>
    <r>
      <rPr>
        <sz val="11"/>
        <rFont val="Noto Sans CJK SC"/>
        <family val="2"/>
      </rPr>
      <t xml:space="preserve">그중 </t>
    </r>
    <r>
      <rPr>
        <sz val="11"/>
        <rFont val="맑은 고딕"/>
        <family val="0"/>
        <charset val="1"/>
      </rPr>
      <t xml:space="preserve">QA</t>
    </r>
    <r>
      <rPr>
        <sz val="11"/>
        <rFont val="Noto Sans CJK SC"/>
        <family val="2"/>
      </rPr>
      <t xml:space="preserve">가 수정한 </t>
    </r>
    <r>
      <rPr>
        <sz val="11"/>
        <rFont val="맑은 고딕"/>
        <family val="0"/>
        <charset val="1"/>
      </rPr>
      <t xml:space="preserve">TC</t>
    </r>
  </si>
  <si>
    <r>
      <rPr>
        <sz val="11"/>
        <rFont val="맑은 고딕"/>
        <family val="0"/>
        <charset val="1"/>
      </rPr>
      <t xml:space="preserve">QA</t>
    </r>
    <r>
      <rPr>
        <sz val="11"/>
        <rFont val="Noto Sans CJK SC"/>
        <family val="2"/>
      </rPr>
      <t xml:space="preserve">가 추가한 </t>
    </r>
    <r>
      <rPr>
        <sz val="11"/>
        <rFont val="맑은 고딕"/>
        <family val="0"/>
        <charset val="1"/>
      </rPr>
      <t xml:space="preserve">TC</t>
    </r>
  </si>
  <si>
    <r>
      <rPr>
        <sz val="11"/>
        <rFont val="맑은 고딕"/>
        <family val="0"/>
        <charset val="1"/>
      </rPr>
      <t xml:space="preserve">Fail </t>
    </r>
    <r>
      <rPr>
        <sz val="11"/>
        <rFont val="Noto Sans CJK SC"/>
        <family val="2"/>
      </rPr>
      <t xml:space="preserve">발생 </t>
    </r>
    <r>
      <rPr>
        <sz val="11"/>
        <rFont val="맑은 고딕"/>
        <family val="0"/>
        <charset val="1"/>
      </rPr>
      <t xml:space="preserve">TC </t>
    </r>
    <r>
      <rPr>
        <sz val="11"/>
        <rFont val="Noto Sans CJK SC"/>
        <family val="2"/>
      </rPr>
      <t xml:space="preserve">중 </t>
    </r>
    <r>
      <rPr>
        <sz val="11"/>
        <rFont val="맑은 고딕"/>
        <family val="0"/>
        <charset val="1"/>
      </rPr>
      <t xml:space="preserve">AI </t>
    </r>
    <r>
      <rPr>
        <sz val="11"/>
        <rFont val="Noto Sans CJK SC"/>
        <family val="2"/>
      </rPr>
      <t xml:space="preserve">원본 그대로인 </t>
    </r>
    <r>
      <rPr>
        <sz val="11"/>
        <rFont val="맑은 고딕"/>
        <family val="0"/>
        <charset val="1"/>
      </rPr>
      <t xml:space="preserve">TC</t>
    </r>
  </si>
  <si>
    <r>
      <rPr>
        <sz val="11"/>
        <rFont val="맑은 고딕"/>
        <family val="0"/>
        <charset val="1"/>
      </rPr>
      <t xml:space="preserve">Fail </t>
    </r>
    <r>
      <rPr>
        <sz val="11"/>
        <rFont val="Noto Sans CJK SC"/>
        <family val="2"/>
      </rPr>
      <t xml:space="preserve">발생 </t>
    </r>
    <r>
      <rPr>
        <sz val="11"/>
        <rFont val="맑은 고딕"/>
        <family val="0"/>
        <charset val="1"/>
      </rPr>
      <t xml:space="preserve">TC </t>
    </r>
    <r>
      <rPr>
        <sz val="11"/>
        <rFont val="Noto Sans CJK SC"/>
        <family val="2"/>
      </rPr>
      <t xml:space="preserve">중 </t>
    </r>
    <r>
      <rPr>
        <sz val="11"/>
        <rFont val="맑은 고딕"/>
        <family val="0"/>
        <charset val="1"/>
      </rPr>
      <t xml:space="preserve">AI</t>
    </r>
    <r>
      <rPr>
        <sz val="11"/>
        <rFont val="Noto Sans CJK SC"/>
        <family val="2"/>
      </rPr>
      <t xml:space="preserve">수정</t>
    </r>
    <r>
      <rPr>
        <sz val="11"/>
        <rFont val="맑은 고딕"/>
        <family val="0"/>
        <charset val="1"/>
      </rPr>
      <t xml:space="preserve">·QA</t>
    </r>
    <r>
      <rPr>
        <sz val="11"/>
        <rFont val="Noto Sans CJK SC"/>
        <family val="2"/>
      </rPr>
      <t xml:space="preserve">추가 </t>
    </r>
    <r>
      <rPr>
        <sz val="11"/>
        <rFont val="맑은 고딕"/>
        <family val="0"/>
        <charset val="1"/>
      </rPr>
      <t xml:space="preserve">TC</t>
    </r>
  </si>
  <si>
    <t xml:space="preserve">리뷰 결론</t>
  </si>
  <si>
    <r>
      <rPr>
        <sz val="11"/>
        <rFont val="맑은 고딕"/>
        <family val="0"/>
        <charset val="1"/>
      </rPr>
      <t xml:space="preserve">1. AI</t>
    </r>
    <r>
      <rPr>
        <sz val="11"/>
        <rFont val="Noto Sans CJK SC"/>
        <family val="2"/>
      </rPr>
      <t xml:space="preserve">는 </t>
    </r>
    <r>
      <rPr>
        <sz val="11"/>
        <rFont val="맑은 고딕"/>
        <family val="0"/>
        <charset val="1"/>
      </rPr>
      <t xml:space="preserve">README(</t>
    </r>
    <r>
      <rPr>
        <sz val="11"/>
        <rFont val="Noto Sans CJK SC"/>
        <family val="2"/>
      </rPr>
      <t xml:space="preserve">명세</t>
    </r>
    <r>
      <rPr>
        <sz val="11"/>
        <rFont val="맑은 고딕"/>
        <family val="0"/>
        <charset val="1"/>
      </rPr>
      <t xml:space="preserve">)</t>
    </r>
    <r>
      <rPr>
        <sz val="11"/>
        <rFont val="Noto Sans CJK SC"/>
        <family val="2"/>
      </rPr>
      <t xml:space="preserve">를 그대로 따라가 </t>
    </r>
    <r>
      <rPr>
        <sz val="11"/>
        <rFont val="맑은 고딕"/>
        <family val="0"/>
        <charset val="1"/>
      </rPr>
      <t xml:space="preserve">API·</t>
    </r>
    <r>
      <rPr>
        <sz val="11"/>
        <rFont val="Noto Sans CJK SC"/>
        <family val="2"/>
      </rPr>
      <t xml:space="preserve">개발자 관점 </t>
    </r>
    <r>
      <rPr>
        <sz val="11"/>
        <rFont val="맑은 고딕"/>
        <family val="0"/>
        <charset val="1"/>
      </rPr>
      <t xml:space="preserve">TC</t>
    </r>
    <r>
      <rPr>
        <sz val="11"/>
        <rFont val="Noto Sans CJK SC"/>
        <family val="2"/>
      </rPr>
      <t xml:space="preserve">로 쏠림 </t>
    </r>
    <r>
      <rPr>
        <sz val="11"/>
        <rFont val="맑은 고딕"/>
        <family val="0"/>
        <charset val="1"/>
      </rPr>
      <t xml:space="preserve">(UI 7</t>
    </r>
    <r>
      <rPr>
        <sz val="11"/>
        <rFont val="Noto Sans CJK SC"/>
        <family val="2"/>
      </rPr>
      <t xml:space="preserve">건 </t>
    </r>
    <r>
      <rPr>
        <sz val="11"/>
        <rFont val="맑은 고딕"/>
        <family val="0"/>
        <charset val="1"/>
      </rPr>
      <t xml:space="preserve">/ API 23</t>
    </r>
    <r>
      <rPr>
        <sz val="11"/>
        <rFont val="Noto Sans CJK SC"/>
        <family val="2"/>
      </rPr>
      <t xml:space="preserve">건</t>
    </r>
    <r>
      <rPr>
        <sz val="11"/>
        <rFont val="맑은 고딕"/>
        <family val="0"/>
        <charset val="1"/>
      </rPr>
      <t xml:space="preserve">). </t>
    </r>
    <r>
      <rPr>
        <sz val="11"/>
        <rFont val="Noto Sans CJK SC"/>
        <family val="2"/>
      </rPr>
      <t xml:space="preserve">사용자 시나리오는 사람이 보완해야 함</t>
    </r>
  </si>
  <si>
    <r>
      <rPr>
        <sz val="11"/>
        <rFont val="맑은 고딕"/>
        <family val="0"/>
        <charset val="1"/>
      </rPr>
      <t xml:space="preserve">2. </t>
    </r>
    <r>
      <rPr>
        <sz val="11"/>
        <rFont val="Noto Sans CJK SC"/>
        <family val="2"/>
      </rPr>
      <t xml:space="preserve">내부 표기</t>
    </r>
    <r>
      <rPr>
        <sz val="11"/>
        <rFont val="맑은 고딕"/>
        <family val="0"/>
        <charset val="1"/>
      </rPr>
      <t xml:space="preserve">(D+30, </t>
    </r>
    <r>
      <rPr>
        <sz val="11"/>
        <rFont val="Noto Sans CJK SC"/>
        <family val="2"/>
      </rPr>
      <t xml:space="preserve">객실 </t>
    </r>
    <r>
      <rPr>
        <sz val="11"/>
        <rFont val="맑은 고딕"/>
        <family val="0"/>
        <charset val="1"/>
      </rPr>
      <t xml:space="preserve">2, R1, data-testid)</t>
    </r>
    <r>
      <rPr>
        <sz val="11"/>
        <rFont val="Noto Sans CJK SC"/>
        <family val="2"/>
      </rPr>
      <t xml:space="preserve">가 많아 실무자가 바로 실행하기 어려움</t>
    </r>
    <r>
      <rPr>
        <sz val="11"/>
        <rFont val="맑은 고딕"/>
        <family val="0"/>
        <charset val="1"/>
      </rPr>
      <t xml:space="preserve">. </t>
    </r>
    <r>
      <rPr>
        <sz val="11"/>
        <rFont val="Noto Sans CJK SC"/>
        <family val="2"/>
      </rPr>
      <t xml:space="preserve">리뷰 과정에서 실제로 해석 혼동 발생</t>
    </r>
  </si>
  <si>
    <r>
      <rPr>
        <sz val="11"/>
        <rFont val="맑은 고딕"/>
        <family val="0"/>
        <charset val="1"/>
      </rPr>
      <t xml:space="preserve">3. </t>
    </r>
    <r>
      <rPr>
        <sz val="11"/>
        <rFont val="Noto Sans CJK SC"/>
        <family val="2"/>
      </rPr>
      <t xml:space="preserve">기간 겹침 </t>
    </r>
    <r>
      <rPr>
        <sz val="11"/>
        <rFont val="맑은 고딕"/>
        <family val="0"/>
        <charset val="1"/>
      </rPr>
      <t xml:space="preserve">4</t>
    </r>
    <r>
      <rPr>
        <sz val="11"/>
        <rFont val="Noto Sans CJK SC"/>
        <family val="2"/>
      </rPr>
      <t xml:space="preserve">가지 유형 중 </t>
    </r>
    <r>
      <rPr>
        <sz val="11"/>
        <rFont val="맑은 고딕"/>
        <family val="0"/>
        <charset val="1"/>
      </rPr>
      <t xml:space="preserve">1</t>
    </r>
    <r>
      <rPr>
        <sz val="11"/>
        <rFont val="Noto Sans CJK SC"/>
        <family val="2"/>
      </rPr>
      <t xml:space="preserve">가지만 생성 → 누락된 </t>
    </r>
    <r>
      <rPr>
        <sz val="11"/>
        <rFont val="맑은 고딕"/>
        <family val="0"/>
        <charset val="1"/>
      </rPr>
      <t xml:space="preserve">'</t>
    </r>
    <r>
      <rPr>
        <sz val="11"/>
        <rFont val="Noto Sans CJK SC"/>
        <family val="2"/>
      </rPr>
      <t xml:space="preserve">앞쪽 겹침</t>
    </r>
    <r>
      <rPr>
        <sz val="11"/>
        <rFont val="맑은 고딕"/>
        <family val="0"/>
        <charset val="1"/>
      </rPr>
      <t xml:space="preserve">'</t>
    </r>
    <r>
      <rPr>
        <sz val="11"/>
        <rFont val="Noto Sans CJK SC"/>
        <family val="2"/>
      </rPr>
      <t xml:space="preserve">에서 중복 예약 결함</t>
    </r>
    <r>
      <rPr>
        <sz val="11"/>
        <rFont val="맑은 고딕"/>
        <family val="0"/>
        <charset val="1"/>
      </rPr>
      <t xml:space="preserve">(#2) </t>
    </r>
    <r>
      <rPr>
        <sz val="11"/>
        <rFont val="Noto Sans CJK SC"/>
        <family val="2"/>
      </rPr>
      <t xml:space="preserve">발견</t>
    </r>
  </si>
  <si>
    <r>
      <rPr>
        <sz val="11"/>
        <rFont val="맑은 고딕"/>
        <family val="0"/>
        <charset val="1"/>
      </rPr>
      <t xml:space="preserve">4. </t>
    </r>
    <r>
      <rPr>
        <sz val="11"/>
        <rFont val="Noto Sans CJK SC"/>
        <family val="2"/>
      </rPr>
      <t xml:space="preserve">화면 간 금액 정합성</t>
    </r>
    <r>
      <rPr>
        <sz val="11"/>
        <rFont val="맑은 고딕"/>
        <family val="0"/>
        <charset val="1"/>
      </rPr>
      <t xml:space="preserve">, UI </t>
    </r>
    <r>
      <rPr>
        <sz val="11"/>
        <rFont val="Noto Sans CJK SC"/>
        <family val="2"/>
      </rPr>
      <t xml:space="preserve">우회</t>
    </r>
    <r>
      <rPr>
        <sz val="11"/>
        <rFont val="맑은 고딕"/>
        <family val="0"/>
        <charset val="1"/>
      </rPr>
      <t xml:space="preserve">, </t>
    </r>
    <r>
      <rPr>
        <sz val="11"/>
        <rFont val="Noto Sans CJK SC"/>
        <family val="2"/>
      </rPr>
      <t xml:space="preserve">로그 개인정보 등 사용자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운영 관점 케이스 누락 → </t>
    </r>
    <r>
      <rPr>
        <sz val="11"/>
        <rFont val="맑은 고딕"/>
        <family val="0"/>
        <charset val="1"/>
      </rPr>
      <t xml:space="preserve">QA </t>
    </r>
    <r>
      <rPr>
        <sz val="11"/>
        <rFont val="Noto Sans CJK SC"/>
        <family val="2"/>
      </rPr>
      <t xml:space="preserve">추가 </t>
    </r>
    <r>
      <rPr>
        <sz val="11"/>
        <rFont val="맑은 고딕"/>
        <family val="0"/>
        <charset val="1"/>
      </rPr>
      <t xml:space="preserve">TC</t>
    </r>
    <r>
      <rPr>
        <sz val="11"/>
        <rFont val="Noto Sans CJK SC"/>
        <family val="2"/>
      </rPr>
      <t xml:space="preserve">에서 결함 </t>
    </r>
    <r>
      <rPr>
        <sz val="11"/>
        <rFont val="맑은 고딕"/>
        <family val="0"/>
        <charset val="1"/>
      </rPr>
      <t xml:space="preserve">3</t>
    </r>
    <r>
      <rPr>
        <sz val="11"/>
        <rFont val="Noto Sans CJK SC"/>
        <family val="2"/>
      </rPr>
      <t xml:space="preserve">건 발견</t>
    </r>
  </si>
  <si>
    <r>
      <rPr>
        <sz val="11"/>
        <rFont val="맑은 고딕"/>
        <family val="0"/>
        <charset val="1"/>
      </rPr>
      <t xml:space="preserve">5. </t>
    </r>
    <r>
      <rPr>
        <sz val="11"/>
        <rFont val="Noto Sans CJK SC"/>
        <family val="2"/>
      </rPr>
      <t xml:space="preserve">명세 기반 경계값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체크인 당일</t>
    </r>
    <r>
      <rPr>
        <sz val="11"/>
        <rFont val="맑은 고딕"/>
        <family val="0"/>
        <charset val="1"/>
      </rPr>
      <t xml:space="preserve">, 30</t>
    </r>
    <r>
      <rPr>
        <sz val="11"/>
        <rFont val="Noto Sans CJK SC"/>
        <family val="2"/>
      </rPr>
      <t xml:space="preserve">박</t>
    </r>
    <r>
      <rPr>
        <sz val="11"/>
        <rFont val="맑은 고딕"/>
        <family val="0"/>
        <charset val="1"/>
      </rPr>
      <t xml:space="preserve">, 0</t>
    </r>
    <r>
      <rPr>
        <sz val="11"/>
        <rFont val="Noto Sans CJK SC"/>
        <family val="2"/>
      </rPr>
      <t xml:space="preserve">박</t>
    </r>
    <r>
      <rPr>
        <sz val="11"/>
        <rFont val="맑은 고딕"/>
        <family val="0"/>
        <charset val="1"/>
      </rPr>
      <t xml:space="preserve">)</t>
    </r>
    <r>
      <rPr>
        <sz val="11"/>
        <rFont val="Noto Sans CJK SC"/>
        <family val="2"/>
      </rPr>
      <t xml:space="preserve">과 모호한 명세 표시</t>
    </r>
    <r>
      <rPr>
        <sz val="11"/>
        <rFont val="맑은 고딕"/>
        <family val="0"/>
        <charset val="1"/>
      </rPr>
      <t xml:space="preserve">(TC-02 </t>
    </r>
    <r>
      <rPr>
        <sz val="11"/>
        <rFont val="Noto Sans CJK SC"/>
        <family val="2"/>
      </rPr>
      <t xml:space="preserve">가정</t>
    </r>
    <r>
      <rPr>
        <sz val="11"/>
        <rFont val="맑은 고딕"/>
        <family val="0"/>
        <charset val="1"/>
      </rPr>
      <t xml:space="preserve">)</t>
    </r>
    <r>
      <rPr>
        <sz val="11"/>
        <rFont val="Noto Sans CJK SC"/>
        <family val="2"/>
      </rPr>
      <t xml:space="preserve">는 </t>
    </r>
    <r>
      <rPr>
        <sz val="11"/>
        <rFont val="맑은 고딕"/>
        <family val="0"/>
        <charset val="1"/>
      </rPr>
      <t xml:space="preserve">AI</t>
    </r>
    <r>
      <rPr>
        <sz val="11"/>
        <rFont val="Noto Sans CJK SC"/>
        <family val="2"/>
      </rPr>
      <t xml:space="preserve">가 잘 생성함</t>
    </r>
  </si>
  <si>
    <t xml:space="preserve">제목</t>
  </si>
  <si>
    <t xml:space="preserve">심각도</t>
  </si>
  <si>
    <r>
      <rPr>
        <b val="true"/>
        <sz val="11"/>
        <color rgb="FFFFFFFF"/>
        <rFont val="Noto Sans CJK SC"/>
        <family val="2"/>
      </rPr>
      <t xml:space="preserve">관련 </t>
    </r>
    <r>
      <rPr>
        <b val="true"/>
        <sz val="11"/>
        <color rgb="FFFFFFFF"/>
        <rFont val="맑은 고딕"/>
        <family val="0"/>
        <charset val="1"/>
      </rPr>
      <t xml:space="preserve">TC</t>
    </r>
  </si>
  <si>
    <t xml:space="preserve">발견 경로</t>
  </si>
  <si>
    <t xml:space="preserve">상태</t>
  </si>
  <si>
    <t xml:space="preserve">링크</t>
  </si>
  <si>
    <r>
      <rPr>
        <sz val="10"/>
        <color rgb="FF000000"/>
        <rFont val="맑은 고딕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예약</t>
    </r>
    <r>
      <rPr>
        <sz val="10"/>
        <color rgb="FF000000"/>
        <rFont val="맑은 고딕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화면 표시 금액과 저장 금액 불일치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저장 금액이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박 요금만큼 많음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</si>
  <si>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bug</t>
  </si>
  <si>
    <t xml:space="preserve">critical</t>
  </si>
  <si>
    <t xml:space="preserve">TC-14, TC-31</t>
  </si>
  <si>
    <t xml:space="preserve">manual</t>
  </si>
  <si>
    <t xml:space="preserve">Open</t>
  </si>
  <si>
    <t xml:space="preserve">https://github.com/sophiachae/hotel-booking-qa/issues/1</t>
  </si>
  <si>
    <r>
      <rPr>
        <sz val="10"/>
        <color rgb="FF000000"/>
        <rFont val="맑은 고딕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예약</t>
    </r>
    <r>
      <rPr>
        <sz val="10"/>
        <color rgb="FF000000"/>
        <rFont val="맑은 고딕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기존 예약 앞쪽에 걸치는 기간이 서버에서 허용되어 중복 예약 발생</t>
    </r>
  </si>
  <si>
    <t xml:space="preserve">https://github.com/sophiachae/hotel-booking-qa/issues/2</t>
  </si>
  <si>
    <r>
      <rPr>
        <sz val="10"/>
        <color rgb="FF000000"/>
        <rFont val="맑은 고딕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로그</t>
    </r>
    <r>
      <rPr>
        <sz val="10"/>
        <color rgb="FF000000"/>
        <rFont val="맑은 고딕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예약 </t>
    </r>
    <r>
      <rPr>
        <sz val="10"/>
        <color rgb="FF000000"/>
        <rFont val="맑은 고딕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로그에 이메일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전화번호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이름이 평문으로 기록됨</t>
    </r>
  </si>
  <si>
    <t xml:space="preserve">major</t>
  </si>
  <si>
    <t xml:space="preserve">https://github.com/sophiachae/hotel-booking-qa/issues/3</t>
  </si>
  <si>
    <r>
      <rPr>
        <sz val="10"/>
        <color rgb="FF000000"/>
        <rFont val="맑은 고딕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예약</t>
    </r>
    <r>
      <rPr>
        <sz val="10"/>
        <color rgb="FF000000"/>
        <rFont val="맑은 고딕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이름은 영문 입력이 가능하나 전화번호는 국내 형식만 허용되어 해외 사용자 예약 불가</t>
    </r>
  </si>
  <si>
    <t xml:space="preserve">enhancement</t>
  </si>
  <si>
    <t xml:space="preserve">-</t>
  </si>
  <si>
    <t xml:space="preserve">https://github.com/sophiachae/hotel-booking-qa/issues/4</t>
  </si>
  <si>
    <t xml:space="preserve">항목</t>
  </si>
  <si>
    <t xml:space="preserve">설명</t>
  </si>
  <si>
    <r>
      <rPr>
        <sz val="10"/>
        <rFont val="맑은 고딕"/>
        <family val="0"/>
        <charset val="1"/>
      </rPr>
      <t xml:space="preserve">AI = AI </t>
    </r>
    <r>
      <rPr>
        <sz val="10"/>
        <rFont val="Noto Sans CJK SC"/>
        <family val="2"/>
      </rPr>
      <t xml:space="preserve">생성 원본 그대로 </t>
    </r>
    <r>
      <rPr>
        <sz val="10"/>
        <rFont val="맑은 고딕"/>
        <family val="0"/>
        <charset val="1"/>
      </rPr>
      <t xml:space="preserve">/ AI</t>
    </r>
    <r>
      <rPr>
        <sz val="10"/>
        <rFont val="Noto Sans CJK SC"/>
        <family val="2"/>
      </rPr>
      <t xml:space="preserve">수정 </t>
    </r>
    <r>
      <rPr>
        <sz val="10"/>
        <rFont val="맑은 고딕"/>
        <family val="0"/>
        <charset val="1"/>
      </rPr>
      <t xml:space="preserve">= QA</t>
    </r>
    <r>
      <rPr>
        <sz val="10"/>
        <rFont val="Noto Sans CJK SC"/>
        <family val="2"/>
      </rPr>
      <t xml:space="preserve">가 절차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기대결과를 재작성 </t>
    </r>
    <r>
      <rPr>
        <sz val="10"/>
        <rFont val="맑은 고딕"/>
        <family val="0"/>
        <charset val="1"/>
      </rPr>
      <t xml:space="preserve">/ QA</t>
    </r>
    <r>
      <rPr>
        <sz val="10"/>
        <rFont val="Noto Sans CJK SC"/>
        <family val="2"/>
      </rPr>
      <t xml:space="preserve">추가 </t>
    </r>
    <r>
      <rPr>
        <sz val="10"/>
        <rFont val="맑은 고딕"/>
        <family val="0"/>
        <charset val="1"/>
      </rPr>
      <t xml:space="preserve">= AI</t>
    </r>
    <r>
      <rPr>
        <sz val="10"/>
        <rFont val="Noto Sans CJK SC"/>
        <family val="2"/>
      </rPr>
      <t xml:space="preserve">가 누락하여 </t>
    </r>
    <r>
      <rPr>
        <sz val="10"/>
        <rFont val="맑은 고딕"/>
        <family val="0"/>
        <charset val="1"/>
      </rPr>
      <t xml:space="preserve">QA</t>
    </r>
    <r>
      <rPr>
        <sz val="10"/>
        <rFont val="Noto Sans CJK SC"/>
        <family val="2"/>
      </rPr>
      <t xml:space="preserve">가 추가</t>
    </r>
  </si>
  <si>
    <r>
      <rPr>
        <sz val="10"/>
        <rFont val="맑은 고딕"/>
        <family val="0"/>
        <charset val="1"/>
      </rPr>
      <t xml:space="preserve">Pass / Fail / </t>
    </r>
    <r>
      <rPr>
        <sz val="10"/>
        <rFont val="Noto Sans CJK SC"/>
        <family val="2"/>
      </rPr>
      <t xml:space="preserve">확인필요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정책 확인 요청</t>
    </r>
    <r>
      <rPr>
        <sz val="10"/>
        <rFont val="맑은 고딕"/>
        <family val="0"/>
        <charset val="1"/>
      </rPr>
      <t xml:space="preserve">) / </t>
    </r>
    <r>
      <rPr>
        <sz val="10"/>
        <rFont val="Noto Sans CJK SC"/>
        <family val="2"/>
      </rPr>
      <t xml:space="preserve">미실행</t>
    </r>
  </si>
  <si>
    <r>
      <rPr>
        <b val="true"/>
        <sz val="10"/>
        <rFont val="맑은 고딕"/>
        <family val="0"/>
        <charset val="1"/>
      </rPr>
      <t xml:space="preserve">AI </t>
    </r>
    <r>
      <rPr>
        <b val="true"/>
        <sz val="10"/>
        <rFont val="Noto Sans CJK SC"/>
        <family val="2"/>
      </rPr>
      <t xml:space="preserve">원문 절차</t>
    </r>
  </si>
  <si>
    <r>
      <rPr>
        <sz val="10"/>
        <rFont val="맑은 고딕"/>
        <family val="0"/>
        <charset val="1"/>
      </rPr>
      <t xml:space="preserve">AI</t>
    </r>
    <r>
      <rPr>
        <sz val="10"/>
        <rFont val="Noto Sans CJK SC"/>
        <family val="2"/>
      </rPr>
      <t xml:space="preserve">수정 </t>
    </r>
    <r>
      <rPr>
        <sz val="10"/>
        <rFont val="맑은 고딕"/>
        <family val="0"/>
        <charset val="1"/>
      </rPr>
      <t xml:space="preserve">TC</t>
    </r>
    <r>
      <rPr>
        <sz val="10"/>
        <rFont val="Noto Sans CJK SC"/>
        <family val="2"/>
      </rPr>
      <t xml:space="preserve">의 수정 전 절차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리뷰 근거로 보존</t>
    </r>
  </si>
  <si>
    <t xml:space="preserve">D</t>
  </si>
  <si>
    <r>
      <rPr>
        <sz val="10"/>
        <rFont val="맑은 고딕"/>
        <family val="0"/>
        <charset val="1"/>
      </rPr>
      <t xml:space="preserve">AI </t>
    </r>
    <r>
      <rPr>
        <sz val="10"/>
        <rFont val="Noto Sans CJK SC"/>
        <family val="2"/>
      </rPr>
      <t xml:space="preserve">원문 표기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테스트 실행일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오늘</t>
    </r>
    <r>
      <rPr>
        <sz val="10"/>
        <rFont val="맑은 고딕"/>
        <family val="0"/>
        <charset val="1"/>
      </rPr>
      <t xml:space="preserve">). D+n = n</t>
    </r>
    <r>
      <rPr>
        <sz val="10"/>
        <rFont val="Noto Sans CJK SC"/>
        <family val="2"/>
      </rPr>
      <t xml:space="preserve">일 뒤 날짜</t>
    </r>
  </si>
  <si>
    <r>
      <rPr>
        <sz val="10"/>
        <rFont val="Noto Sans CJK SC"/>
        <family val="2"/>
      </rPr>
      <t xml:space="preserve">서버 종료 → </t>
    </r>
    <r>
      <rPr>
        <sz val="10"/>
        <rFont val="맑은 고딕"/>
        <family val="0"/>
        <charset val="1"/>
      </rPr>
      <t xml:space="preserve">npm run reset → npm start. </t>
    </r>
    <r>
      <rPr>
        <sz val="10"/>
        <rFont val="Noto Sans CJK SC"/>
        <family val="2"/>
      </rPr>
      <t xml:space="preserve">샘플 데이터만 있고 예약 </t>
    </r>
    <r>
      <rPr>
        <sz val="10"/>
        <rFont val="맑은 고딕"/>
        <family val="0"/>
        <charset val="1"/>
      </rPr>
      <t xml:space="preserve">0</t>
    </r>
    <r>
      <rPr>
        <sz val="10"/>
        <rFont val="Noto Sans CJK SC"/>
        <family val="2"/>
      </rPr>
      <t xml:space="preserve">건인 상태</t>
    </r>
  </si>
  <si>
    <t xml:space="preserve">R1</t>
  </si>
  <si>
    <r>
      <rPr>
        <sz val="10"/>
        <rFont val="맑은 고딕"/>
        <family val="0"/>
        <charset val="1"/>
      </rPr>
      <t xml:space="preserve">AI </t>
    </r>
    <r>
      <rPr>
        <sz val="10"/>
        <rFont val="Noto Sans CJK SC"/>
        <family val="2"/>
      </rPr>
      <t xml:space="preserve">원문 표기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객실 </t>
    </r>
    <r>
      <rPr>
        <sz val="10"/>
        <rFont val="맑은 고딕"/>
        <family val="0"/>
        <charset val="1"/>
      </rPr>
      <t xml:space="preserve">1(</t>
    </r>
    <r>
      <rPr>
        <sz val="10"/>
        <rFont val="Noto Sans CJK SC"/>
        <family val="2"/>
      </rPr>
      <t xml:space="preserve">서울 그랜드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스탠다드 더블 </t>
    </r>
    <r>
      <rPr>
        <sz val="10"/>
        <rFont val="맑은 고딕"/>
        <family val="0"/>
        <charset val="1"/>
      </rPr>
      <t xml:space="preserve">/ 120,000</t>
    </r>
    <r>
      <rPr>
        <sz val="10"/>
        <rFont val="Noto Sans CJK SC"/>
        <family val="2"/>
      </rPr>
      <t xml:space="preserve">원</t>
    </r>
    <r>
      <rPr>
        <sz val="10"/>
        <rFont val="맑은 고딕"/>
        <family val="0"/>
        <charset val="1"/>
      </rPr>
      <t xml:space="preserve">), D+30~D+32, 2</t>
    </r>
    <r>
      <rPr>
        <sz val="10"/>
        <rFont val="Noto Sans CJK SC"/>
        <family val="2"/>
      </rPr>
      <t xml:space="preserve">명으로 만든 예약</t>
    </r>
  </si>
  <si>
    <t xml:space="preserve">테스트 데이터</t>
  </si>
  <si>
    <r>
      <rPr>
        <sz val="10"/>
        <rFont val="Noto Sans CJK SC"/>
        <family val="2"/>
      </rPr>
      <t xml:space="preserve">실제 개인정보 대신 테스트용 이름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전화번호 사용</t>
    </r>
  </si>
  <si>
    <t xml:space="preserve">실행 환경</t>
  </si>
  <si>
    <t xml:space="preserve">macOS / Chrome / localhost:3000 / 2026-10-07 ~ 10-08</t>
  </si>
  <si>
    <r>
      <rPr>
        <b val="true"/>
        <sz val="10"/>
        <rFont val="Noto Sans CJK SC"/>
        <family val="2"/>
      </rPr>
      <t xml:space="preserve">가정 </t>
    </r>
    <r>
      <rPr>
        <b val="true"/>
        <sz val="10"/>
        <rFont val="맑은 고딕"/>
        <family val="0"/>
        <charset val="1"/>
      </rPr>
      <t xml:space="preserve">(TC-02)</t>
    </r>
  </si>
  <si>
    <r>
      <rPr>
        <sz val="10"/>
        <rFont val="맑은 고딕"/>
        <family val="0"/>
        <charset val="1"/>
      </rPr>
      <t xml:space="preserve">minPrice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인원 조건을 충족하는 객실 중 최저가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해석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명세에 없어 실제 동작이 다르면 판단 필요</t>
    </r>
  </si>
  <si>
    <t xml:space="preserve">출처 문서</t>
  </si>
  <si>
    <r>
      <rPr>
        <sz val="10"/>
        <rFont val="맑은 고딕"/>
        <family val="0"/>
        <charset val="1"/>
      </rPr>
      <t xml:space="preserve">README.md(</t>
    </r>
    <r>
      <rPr>
        <sz val="10"/>
        <rFont val="Noto Sans CJK SC"/>
        <family val="2"/>
      </rPr>
      <t xml:space="preserve">미니 호텔 예약 웹앱 기능 명세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를 </t>
    </r>
    <r>
      <rPr>
        <sz val="10"/>
        <rFont val="맑은 고딕"/>
        <family val="0"/>
        <charset val="1"/>
      </rPr>
      <t xml:space="preserve">LLM</t>
    </r>
    <r>
      <rPr>
        <sz val="10"/>
        <rFont val="Noto Sans CJK SC"/>
        <family val="2"/>
      </rPr>
      <t xml:space="preserve">에 입력해 </t>
    </r>
    <r>
      <rPr>
        <sz val="10"/>
        <rFont val="맑은 고딕"/>
        <family val="0"/>
        <charset val="1"/>
      </rPr>
      <t xml:space="preserve">TC 30</t>
    </r>
    <r>
      <rPr>
        <sz val="10"/>
        <rFont val="Noto Sans CJK SC"/>
        <family val="2"/>
      </rPr>
      <t xml:space="preserve">건 생성 후 </t>
    </r>
    <r>
      <rPr>
        <sz val="10"/>
        <rFont val="맑은 고딕"/>
        <family val="0"/>
        <charset val="1"/>
      </rPr>
      <t xml:space="preserve">QA </t>
    </r>
    <r>
      <rPr>
        <sz val="10"/>
        <rFont val="Noto Sans CJK SC"/>
        <family val="2"/>
      </rPr>
      <t xml:space="preserve">리뷰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</si>
</sst>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맑은 고딕"/>
      <family val="0"/>
      <charset val="1"/>
    </font>
    <font>
      <b val="true"/>
      <sz val="11"/>
      <color rgb="FFFFFFFF"/>
      <name val="Noto Sans CJK SC"/>
      <family val="2"/>
    </font>
    <font>
      <sz val="10"/>
      <name val="맑은 고딕"/>
      <family val="0"/>
      <charset val="1"/>
    </font>
    <font>
      <sz val="10"/>
      <name val="Noto Sans CJK SC"/>
      <family val="2"/>
    </font>
    <font>
      <sz val="9"/>
      <color rgb="FF888888"/>
      <name val="맑은 고딕"/>
      <family val="0"/>
      <charset val="1"/>
    </font>
    <font>
      <sz val="9"/>
      <color rgb="FF888888"/>
      <name val="Noto Sans CJK SC"/>
      <family val="2"/>
    </font>
    <font>
      <b val="true"/>
      <sz val="14"/>
      <color rgb="FF2F5D62"/>
      <name val="맑은 고딕"/>
      <family val="0"/>
      <charset val="1"/>
    </font>
    <font>
      <b val="true"/>
      <sz val="14"/>
      <color rgb="FF2F5D62"/>
      <name val="Noto Sans CJK SC"/>
      <family val="2"/>
    </font>
    <font>
      <b val="true"/>
      <sz val="11"/>
      <name val="Noto Sans CJK SC"/>
      <family val="2"/>
    </font>
    <font>
      <sz val="11"/>
      <name val="맑은 고딕"/>
      <family val="0"/>
      <charset val="1"/>
    </font>
    <font>
      <sz val="11"/>
      <name val="Noto Sans CJK SC"/>
      <family val="2"/>
    </font>
    <font>
      <b val="true"/>
      <sz val="11"/>
      <name val="맑은 고딕"/>
      <family val="0"/>
      <charset val="1"/>
    </font>
    <font>
      <sz val="10"/>
      <color rgb="FF000000"/>
      <name val="맑은 고딕"/>
      <family val="0"/>
      <charset val="1"/>
    </font>
    <font>
      <sz val="10"/>
      <color rgb="FF000000"/>
      <name val="Noto Sans CJK SC"/>
      <family val="2"/>
    </font>
    <font>
      <u val="single"/>
      <sz val="10"/>
      <color rgb="FF0563C1"/>
      <name val="맑은 고딕"/>
      <family val="0"/>
      <charset val="1"/>
    </font>
    <font>
      <b val="true"/>
      <sz val="10"/>
      <name val="Noto Sans CJK SC"/>
      <family val="2"/>
    </font>
    <font>
      <b val="true"/>
      <sz val="10"/>
      <name val="맑은 고딕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D62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D3"/>
      </left>
      <right style="thin">
        <color rgb="FFC9D1D3"/>
      </right>
      <top style="thin">
        <color rgb="FFC9D1D3"/>
      </top>
      <bottom style="thin">
        <color rgb="FFC9D1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2F5D62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FBE3E4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>
          <bgColor rgb="FFFBE3E4"/>
        </patternFill>
      </fill>
    </dxf>
    <dxf>
      <fill>
        <patternFill>
          <bgColor rgb="FFE6F4EA"/>
        </patternFill>
      </fill>
    </dxf>
    <dxf>
      <fill>
        <patternFill>
          <bgColor rgb="FFFFF4D6"/>
        </patternFill>
      </fill>
    </dxf>
    <dxf>
      <font>
        <name val="맑은 고딕"/>
        <charset val="1"/>
        <family val="0"/>
        <b val="1"/>
        <color rgb="FF2F5D6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4D6"/>
      <rgbColor rgb="FFE6F4EA"/>
      <rgbColor rgb="FF660066"/>
      <rgbColor rgb="FFFF8080"/>
      <rgbColor rgb="FF0563C1"/>
      <rgbColor rgb="FFC9D1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6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github.com/sophiachae/hotel-booking-qa/issues/1" TargetMode="External"/><Relationship Id="rId2" Type="http://schemas.openxmlformats.org/officeDocument/2006/relationships/hyperlink" Target="https://github.com/sophiachae/hotel-booking-qa/issues/2" TargetMode="External"/><Relationship Id="rId3" Type="http://schemas.openxmlformats.org/officeDocument/2006/relationships/hyperlink" Target="https://github.com/sophiachae/hotel-booking-qa/issues/3" TargetMode="External"/><Relationship Id="rId4" Type="http://schemas.openxmlformats.org/officeDocument/2006/relationships/hyperlink" Target="https://github.com/sophiachae/hotel-booking-qa/issues/4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7"/>
    <col collapsed="false" customWidth="true" hidden="false" outlineLevel="0" max="4" min="4" style="0" width="9"/>
    <col collapsed="false" customWidth="true" hidden="false" outlineLevel="0" max="5" min="5" style="0" width="22"/>
    <col collapsed="false" customWidth="true" hidden="false" outlineLevel="0" max="6" min="6" style="0" width="26"/>
    <col collapsed="false" customWidth="true" hidden="false" outlineLevel="0" max="7" min="7" style="0" width="40"/>
    <col collapsed="false" customWidth="true" hidden="false" outlineLevel="0" max="8" min="8" style="0" width="34"/>
    <col collapsed="false" customWidth="true" hidden="false" outlineLevel="0" max="9" min="9" style="0" width="3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8"/>
    <col collapsed="false" customWidth="true" hidden="false" outlineLevel="0" max="13" min="13" style="0" width="40"/>
    <col collapsed="false" customWidth="true" hidden="false" outlineLevel="0" max="14" min="14" style="0" width="8"/>
    <col collapsed="false" customWidth="true" hidden="false" outlineLevel="0" max="15" min="15" style="0" width="30"/>
  </cols>
  <sheetData>
    <row r="1" customFormat="false" ht="32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</row>
    <row r="2" customFormat="false" ht="73.1" hidden="false" customHeight="false" outlineLevel="0" collapsed="false">
      <c r="A2" s="3" t="s">
        <v>15</v>
      </c>
      <c r="B2" s="3" t="s">
        <v>16</v>
      </c>
      <c r="C2" s="3" t="s">
        <v>17</v>
      </c>
      <c r="D2" s="4" t="s">
        <v>18</v>
      </c>
      <c r="E2" s="5" t="s">
        <v>19</v>
      </c>
      <c r="F2" s="5" t="s">
        <v>20</v>
      </c>
      <c r="G2" s="6" t="s">
        <v>21</v>
      </c>
      <c r="H2" s="5" t="s">
        <v>22</v>
      </c>
      <c r="I2" s="6"/>
      <c r="J2" s="4" t="s">
        <v>23</v>
      </c>
      <c r="K2" s="3"/>
      <c r="L2" s="3"/>
      <c r="M2" s="6" t="s">
        <v>24</v>
      </c>
      <c r="N2" s="3" t="s">
        <v>25</v>
      </c>
      <c r="O2" s="7" t="s">
        <v>26</v>
      </c>
    </row>
    <row r="3" customFormat="false" ht="41.75" hidden="false" customHeight="false" outlineLevel="0" collapsed="false">
      <c r="A3" s="3" t="s">
        <v>27</v>
      </c>
      <c r="B3" s="3" t="s">
        <v>28</v>
      </c>
      <c r="C3" s="3" t="s">
        <v>29</v>
      </c>
      <c r="D3" s="4" t="s">
        <v>18</v>
      </c>
      <c r="E3" s="5" t="s">
        <v>30</v>
      </c>
      <c r="F3" s="5" t="s">
        <v>20</v>
      </c>
      <c r="G3" s="6" t="s">
        <v>31</v>
      </c>
      <c r="H3" s="6" t="s">
        <v>32</v>
      </c>
      <c r="I3" s="6"/>
      <c r="J3" s="4" t="s">
        <v>23</v>
      </c>
      <c r="K3" s="3"/>
      <c r="L3" s="3"/>
      <c r="M3" s="6" t="s">
        <v>33</v>
      </c>
      <c r="N3" s="3" t="s">
        <v>25</v>
      </c>
      <c r="O3" s="7"/>
    </row>
    <row r="4" customFormat="false" ht="44" hidden="false" customHeight="false" outlineLevel="0" collapsed="false">
      <c r="A4" s="3" t="s">
        <v>34</v>
      </c>
      <c r="B4" s="3" t="s">
        <v>28</v>
      </c>
      <c r="C4" s="3" t="s">
        <v>29</v>
      </c>
      <c r="D4" s="4" t="s">
        <v>35</v>
      </c>
      <c r="E4" s="6" t="s">
        <v>36</v>
      </c>
      <c r="F4" s="5" t="s">
        <v>20</v>
      </c>
      <c r="G4" s="6" t="s">
        <v>37</v>
      </c>
      <c r="H4" s="6" t="s">
        <v>38</v>
      </c>
      <c r="I4" s="6"/>
      <c r="J4" s="4" t="s">
        <v>23</v>
      </c>
      <c r="K4" s="3"/>
      <c r="L4" s="3"/>
      <c r="M4" s="6" t="s">
        <v>33</v>
      </c>
      <c r="N4" s="3" t="s">
        <v>39</v>
      </c>
      <c r="O4" s="7"/>
    </row>
    <row r="5" customFormat="false" ht="41.75" hidden="false" customHeight="false" outlineLevel="0" collapsed="false">
      <c r="A5" s="3" t="s">
        <v>40</v>
      </c>
      <c r="B5" s="3" t="s">
        <v>28</v>
      </c>
      <c r="C5" s="3" t="s">
        <v>29</v>
      </c>
      <c r="D5" s="4" t="s">
        <v>41</v>
      </c>
      <c r="E5" s="6" t="s">
        <v>42</v>
      </c>
      <c r="F5" s="5" t="s">
        <v>20</v>
      </c>
      <c r="G5" s="6" t="s">
        <v>43</v>
      </c>
      <c r="H5" s="6" t="s">
        <v>44</v>
      </c>
      <c r="I5" s="6"/>
      <c r="J5" s="4" t="s">
        <v>23</v>
      </c>
      <c r="K5" s="3"/>
      <c r="L5" s="3"/>
      <c r="M5" s="6" t="s">
        <v>33</v>
      </c>
      <c r="N5" s="3" t="s">
        <v>25</v>
      </c>
      <c r="O5" s="7"/>
    </row>
    <row r="6" customFormat="false" ht="47.75" hidden="false" customHeight="false" outlineLevel="0" collapsed="false">
      <c r="A6" s="3" t="s">
        <v>45</v>
      </c>
      <c r="B6" s="3" t="s">
        <v>16</v>
      </c>
      <c r="C6" s="3" t="s">
        <v>17</v>
      </c>
      <c r="D6" s="4" t="s">
        <v>35</v>
      </c>
      <c r="E6" s="5" t="s">
        <v>46</v>
      </c>
      <c r="F6" s="5" t="s">
        <v>47</v>
      </c>
      <c r="G6" s="5" t="s">
        <v>48</v>
      </c>
      <c r="H6" s="5" t="s">
        <v>49</v>
      </c>
      <c r="I6" s="5" t="s">
        <v>50</v>
      </c>
      <c r="J6" s="3" t="s">
        <v>51</v>
      </c>
      <c r="K6" s="3" t="s">
        <v>52</v>
      </c>
      <c r="L6" s="3"/>
      <c r="M6" s="6" t="s">
        <v>53</v>
      </c>
      <c r="N6" s="3" t="s">
        <v>25</v>
      </c>
      <c r="O6" s="7" t="s">
        <v>54</v>
      </c>
    </row>
    <row r="7" customFormat="false" ht="36.55" hidden="false" customHeight="false" outlineLevel="0" collapsed="false">
      <c r="A7" s="3" t="s">
        <v>55</v>
      </c>
      <c r="B7" s="3" t="s">
        <v>16</v>
      </c>
      <c r="C7" s="3" t="s">
        <v>17</v>
      </c>
      <c r="D7" s="4" t="s">
        <v>35</v>
      </c>
      <c r="E7" s="5" t="s">
        <v>56</v>
      </c>
      <c r="F7" s="5" t="s">
        <v>57</v>
      </c>
      <c r="G7" s="6" t="s">
        <v>58</v>
      </c>
      <c r="H7" s="6" t="s">
        <v>59</v>
      </c>
      <c r="I7" s="5" t="s">
        <v>60</v>
      </c>
      <c r="J7" s="3" t="s">
        <v>51</v>
      </c>
      <c r="K7" s="3" t="s">
        <v>61</v>
      </c>
      <c r="L7" s="3"/>
      <c r="M7" s="5" t="s">
        <v>62</v>
      </c>
      <c r="N7" s="3" t="s">
        <v>25</v>
      </c>
      <c r="O7" s="7" t="s">
        <v>63</v>
      </c>
    </row>
    <row r="8" customFormat="false" ht="49.25" hidden="false" customHeight="false" outlineLevel="0" collapsed="false">
      <c r="A8" s="3" t="s">
        <v>64</v>
      </c>
      <c r="B8" s="3" t="s">
        <v>16</v>
      </c>
      <c r="C8" s="3" t="s">
        <v>17</v>
      </c>
      <c r="D8" s="4" t="s">
        <v>35</v>
      </c>
      <c r="E8" s="5" t="s">
        <v>65</v>
      </c>
      <c r="F8" s="5" t="s">
        <v>66</v>
      </c>
      <c r="G8" s="6" t="s">
        <v>67</v>
      </c>
      <c r="H8" s="6" t="s">
        <v>68</v>
      </c>
      <c r="I8" s="5" t="s">
        <v>69</v>
      </c>
      <c r="J8" s="3" t="s">
        <v>51</v>
      </c>
      <c r="K8" s="3" t="s">
        <v>61</v>
      </c>
      <c r="L8" s="3"/>
      <c r="M8" s="6" t="s">
        <v>70</v>
      </c>
      <c r="N8" s="3" t="s">
        <v>25</v>
      </c>
      <c r="O8" s="7" t="s">
        <v>71</v>
      </c>
    </row>
    <row r="9" customFormat="false" ht="29.85" hidden="false" customHeight="false" outlineLevel="0" collapsed="false">
      <c r="A9" s="3" t="s">
        <v>72</v>
      </c>
      <c r="B9" s="3" t="s">
        <v>28</v>
      </c>
      <c r="C9" s="3" t="s">
        <v>29</v>
      </c>
      <c r="D9" s="4" t="s">
        <v>73</v>
      </c>
      <c r="E9" s="5" t="s">
        <v>74</v>
      </c>
      <c r="F9" s="5" t="s">
        <v>20</v>
      </c>
      <c r="G9" s="6" t="s">
        <v>75</v>
      </c>
      <c r="H9" s="6" t="s">
        <v>76</v>
      </c>
      <c r="I9" s="6"/>
      <c r="J9" s="4" t="s">
        <v>23</v>
      </c>
      <c r="K9" s="3"/>
      <c r="L9" s="3"/>
      <c r="M9" s="6" t="s">
        <v>33</v>
      </c>
      <c r="N9" s="3" t="s">
        <v>39</v>
      </c>
      <c r="O9" s="7"/>
    </row>
    <row r="10" customFormat="false" ht="44" hidden="false" customHeight="false" outlineLevel="0" collapsed="false">
      <c r="A10" s="3" t="s">
        <v>77</v>
      </c>
      <c r="B10" s="3" t="s">
        <v>28</v>
      </c>
      <c r="C10" s="3" t="s">
        <v>29</v>
      </c>
      <c r="D10" s="4" t="s">
        <v>73</v>
      </c>
      <c r="E10" s="5" t="s">
        <v>78</v>
      </c>
      <c r="F10" s="5" t="s">
        <v>20</v>
      </c>
      <c r="G10" s="6" t="s">
        <v>79</v>
      </c>
      <c r="H10" s="6" t="s">
        <v>80</v>
      </c>
      <c r="I10" s="6"/>
      <c r="J10" s="4" t="s">
        <v>23</v>
      </c>
      <c r="K10" s="3"/>
      <c r="L10" s="3"/>
      <c r="M10" s="6" t="s">
        <v>33</v>
      </c>
      <c r="N10" s="3" t="s">
        <v>39</v>
      </c>
      <c r="O10" s="7"/>
    </row>
    <row r="11" customFormat="false" ht="29.85" hidden="false" customHeight="false" outlineLevel="0" collapsed="false">
      <c r="A11" s="3" t="s">
        <v>81</v>
      </c>
      <c r="B11" s="3" t="s">
        <v>28</v>
      </c>
      <c r="C11" s="3" t="s">
        <v>29</v>
      </c>
      <c r="D11" s="4" t="s">
        <v>18</v>
      </c>
      <c r="E11" s="5" t="s">
        <v>82</v>
      </c>
      <c r="F11" s="5" t="s">
        <v>83</v>
      </c>
      <c r="G11" s="6" t="s">
        <v>84</v>
      </c>
      <c r="H11" s="6" t="s">
        <v>85</v>
      </c>
      <c r="I11" s="6"/>
      <c r="J11" s="4" t="s">
        <v>23</v>
      </c>
      <c r="K11" s="3"/>
      <c r="L11" s="3"/>
      <c r="M11" s="6" t="s">
        <v>33</v>
      </c>
      <c r="N11" s="3" t="s">
        <v>25</v>
      </c>
      <c r="O11" s="7"/>
    </row>
    <row r="12" customFormat="false" ht="86.55" hidden="false" customHeight="false" outlineLevel="0" collapsed="false">
      <c r="A12" s="3" t="s">
        <v>86</v>
      </c>
      <c r="B12" s="3" t="s">
        <v>16</v>
      </c>
      <c r="C12" s="3" t="s">
        <v>17</v>
      </c>
      <c r="D12" s="4" t="s">
        <v>18</v>
      </c>
      <c r="E12" s="5" t="s">
        <v>87</v>
      </c>
      <c r="F12" s="5" t="s">
        <v>20</v>
      </c>
      <c r="G12" s="6" t="s">
        <v>88</v>
      </c>
      <c r="H12" s="5" t="s">
        <v>89</v>
      </c>
      <c r="I12" s="6"/>
      <c r="J12" s="4" t="s">
        <v>23</v>
      </c>
      <c r="K12" s="3"/>
      <c r="L12" s="3"/>
      <c r="M12" s="6" t="s">
        <v>90</v>
      </c>
      <c r="N12" s="3" t="s">
        <v>25</v>
      </c>
      <c r="O12" s="7"/>
    </row>
    <row r="13" customFormat="false" ht="37.3" hidden="false" customHeight="false" outlineLevel="0" collapsed="false">
      <c r="A13" s="3" t="s">
        <v>91</v>
      </c>
      <c r="B13" s="3" t="s">
        <v>28</v>
      </c>
      <c r="C13" s="3" t="s">
        <v>29</v>
      </c>
      <c r="D13" s="4" t="s">
        <v>73</v>
      </c>
      <c r="E13" s="5" t="s">
        <v>92</v>
      </c>
      <c r="F13" s="5" t="s">
        <v>20</v>
      </c>
      <c r="G13" s="6" t="s">
        <v>93</v>
      </c>
      <c r="H13" s="6" t="s">
        <v>94</v>
      </c>
      <c r="I13" s="6"/>
      <c r="J13" s="4" t="s">
        <v>23</v>
      </c>
      <c r="K13" s="3"/>
      <c r="L13" s="3"/>
      <c r="M13" s="6" t="s">
        <v>33</v>
      </c>
      <c r="N13" s="3" t="s">
        <v>39</v>
      </c>
      <c r="O13" s="7"/>
    </row>
    <row r="14" customFormat="false" ht="29.85" hidden="false" customHeight="false" outlineLevel="0" collapsed="false">
      <c r="A14" s="3" t="s">
        <v>95</v>
      </c>
      <c r="B14" s="3" t="s">
        <v>28</v>
      </c>
      <c r="C14" s="3" t="s">
        <v>29</v>
      </c>
      <c r="D14" s="4" t="s">
        <v>18</v>
      </c>
      <c r="E14" s="5" t="s">
        <v>96</v>
      </c>
      <c r="F14" s="6" t="s">
        <v>97</v>
      </c>
      <c r="G14" s="6" t="s">
        <v>98</v>
      </c>
      <c r="H14" s="6" t="s">
        <v>99</v>
      </c>
      <c r="I14" s="6"/>
      <c r="J14" s="4" t="s">
        <v>23</v>
      </c>
      <c r="K14" s="3"/>
      <c r="L14" s="3"/>
      <c r="M14" s="6" t="s">
        <v>33</v>
      </c>
      <c r="N14" s="3" t="s">
        <v>25</v>
      </c>
      <c r="O14" s="7"/>
    </row>
    <row r="15" customFormat="false" ht="117.9" hidden="false" customHeight="false" outlineLevel="0" collapsed="false">
      <c r="A15" s="3" t="s">
        <v>100</v>
      </c>
      <c r="B15" s="3" t="s">
        <v>16</v>
      </c>
      <c r="C15" s="3" t="s">
        <v>17</v>
      </c>
      <c r="D15" s="4" t="s">
        <v>18</v>
      </c>
      <c r="E15" s="5" t="s">
        <v>101</v>
      </c>
      <c r="F15" s="5" t="s">
        <v>102</v>
      </c>
      <c r="G15" s="6" t="s">
        <v>103</v>
      </c>
      <c r="H15" s="5" t="s">
        <v>104</v>
      </c>
      <c r="I15" s="5" t="s">
        <v>105</v>
      </c>
      <c r="J15" s="3" t="s">
        <v>106</v>
      </c>
      <c r="K15" s="3" t="s">
        <v>52</v>
      </c>
      <c r="L15" s="3" t="s">
        <v>107</v>
      </c>
      <c r="M15" s="5" t="s">
        <v>108</v>
      </c>
      <c r="N15" s="3" t="s">
        <v>25</v>
      </c>
      <c r="O15" s="7" t="s">
        <v>109</v>
      </c>
    </row>
    <row r="16" customFormat="false" ht="65.65" hidden="false" customHeight="false" outlineLevel="0" collapsed="false">
      <c r="A16" s="3" t="s">
        <v>110</v>
      </c>
      <c r="B16" s="3" t="s">
        <v>28</v>
      </c>
      <c r="C16" s="3" t="s">
        <v>29</v>
      </c>
      <c r="D16" s="4" t="s">
        <v>18</v>
      </c>
      <c r="E16" s="5" t="s">
        <v>111</v>
      </c>
      <c r="F16" s="5" t="s">
        <v>20</v>
      </c>
      <c r="G16" s="6" t="s">
        <v>112</v>
      </c>
      <c r="H16" s="6" t="s">
        <v>113</v>
      </c>
      <c r="I16" s="6"/>
      <c r="J16" s="4" t="s">
        <v>23</v>
      </c>
      <c r="K16" s="3"/>
      <c r="L16" s="3"/>
      <c r="M16" s="6" t="s">
        <v>114</v>
      </c>
      <c r="N16" s="3" t="s">
        <v>25</v>
      </c>
      <c r="O16" s="7"/>
    </row>
    <row r="17" customFormat="false" ht="44" hidden="false" customHeight="false" outlineLevel="0" collapsed="false">
      <c r="A17" s="3" t="s">
        <v>115</v>
      </c>
      <c r="B17" s="3" t="s">
        <v>28</v>
      </c>
      <c r="C17" s="3" t="s">
        <v>29</v>
      </c>
      <c r="D17" s="4" t="s">
        <v>35</v>
      </c>
      <c r="E17" s="5" t="s">
        <v>116</v>
      </c>
      <c r="F17" s="5" t="s">
        <v>20</v>
      </c>
      <c r="G17" s="6" t="s">
        <v>117</v>
      </c>
      <c r="H17" s="6" t="s">
        <v>118</v>
      </c>
      <c r="I17" s="6"/>
      <c r="J17" s="4" t="s">
        <v>23</v>
      </c>
      <c r="K17" s="3"/>
      <c r="L17" s="3"/>
      <c r="M17" s="6" t="s">
        <v>119</v>
      </c>
      <c r="N17" s="3" t="s">
        <v>25</v>
      </c>
      <c r="O17" s="7"/>
    </row>
    <row r="18" customFormat="false" ht="70.1" hidden="false" customHeight="false" outlineLevel="0" collapsed="false">
      <c r="A18" s="3" t="s">
        <v>120</v>
      </c>
      <c r="B18" s="3" t="s">
        <v>16</v>
      </c>
      <c r="C18" s="3" t="s">
        <v>17</v>
      </c>
      <c r="D18" s="4" t="s">
        <v>73</v>
      </c>
      <c r="E18" s="5" t="s">
        <v>121</v>
      </c>
      <c r="F18" s="5" t="s">
        <v>122</v>
      </c>
      <c r="G18" s="6" t="s">
        <v>123</v>
      </c>
      <c r="H18" s="5" t="s">
        <v>124</v>
      </c>
      <c r="I18" s="5" t="s">
        <v>124</v>
      </c>
      <c r="J18" s="3" t="s">
        <v>51</v>
      </c>
      <c r="K18" s="3" t="s">
        <v>52</v>
      </c>
      <c r="L18" s="3"/>
      <c r="M18" s="5" t="s">
        <v>125</v>
      </c>
      <c r="N18" s="3" t="s">
        <v>25</v>
      </c>
      <c r="O18" s="7" t="s">
        <v>126</v>
      </c>
    </row>
    <row r="19" customFormat="false" ht="29.85" hidden="false" customHeight="false" outlineLevel="0" collapsed="false">
      <c r="A19" s="3" t="s">
        <v>127</v>
      </c>
      <c r="B19" s="3" t="s">
        <v>28</v>
      </c>
      <c r="C19" s="3" t="s">
        <v>29</v>
      </c>
      <c r="D19" s="4" t="s">
        <v>35</v>
      </c>
      <c r="E19" s="5" t="s">
        <v>128</v>
      </c>
      <c r="F19" s="6" t="s">
        <v>97</v>
      </c>
      <c r="G19" s="6" t="s">
        <v>129</v>
      </c>
      <c r="H19" s="6" t="s">
        <v>130</v>
      </c>
      <c r="I19" s="6"/>
      <c r="J19" s="4" t="s">
        <v>23</v>
      </c>
      <c r="K19" s="3"/>
      <c r="L19" s="3"/>
      <c r="M19" s="6" t="s">
        <v>33</v>
      </c>
      <c r="N19" s="3" t="s">
        <v>25</v>
      </c>
      <c r="O19" s="7"/>
    </row>
    <row r="20" customFormat="false" ht="27.6" hidden="false" customHeight="false" outlineLevel="0" collapsed="false">
      <c r="A20" s="3" t="s">
        <v>131</v>
      </c>
      <c r="B20" s="3" t="s">
        <v>28</v>
      </c>
      <c r="C20" s="3" t="s">
        <v>29</v>
      </c>
      <c r="D20" s="4" t="s">
        <v>18</v>
      </c>
      <c r="E20" s="5" t="s">
        <v>132</v>
      </c>
      <c r="F20" s="6" t="s">
        <v>133</v>
      </c>
      <c r="G20" s="6" t="s">
        <v>134</v>
      </c>
      <c r="H20" s="6" t="s">
        <v>135</v>
      </c>
      <c r="I20" s="6"/>
      <c r="J20" s="4" t="s">
        <v>23</v>
      </c>
      <c r="K20" s="3"/>
      <c r="L20" s="3"/>
      <c r="M20" s="6" t="s">
        <v>33</v>
      </c>
      <c r="N20" s="3" t="s">
        <v>39</v>
      </c>
      <c r="O20" s="7"/>
    </row>
    <row r="21" customFormat="false" ht="29.85" hidden="false" customHeight="false" outlineLevel="0" collapsed="false">
      <c r="A21" s="3" t="s">
        <v>136</v>
      </c>
      <c r="B21" s="3" t="s">
        <v>28</v>
      </c>
      <c r="C21" s="3" t="s">
        <v>29</v>
      </c>
      <c r="D21" s="4" t="s">
        <v>73</v>
      </c>
      <c r="E21" s="5" t="s">
        <v>137</v>
      </c>
      <c r="F21" s="5" t="s">
        <v>20</v>
      </c>
      <c r="G21" s="6" t="s">
        <v>138</v>
      </c>
      <c r="H21" s="6" t="s">
        <v>139</v>
      </c>
      <c r="I21" s="6"/>
      <c r="J21" s="4" t="s">
        <v>23</v>
      </c>
      <c r="K21" s="3"/>
      <c r="L21" s="3"/>
      <c r="M21" s="6" t="s">
        <v>33</v>
      </c>
      <c r="N21" s="3" t="s">
        <v>39</v>
      </c>
      <c r="O21" s="7"/>
    </row>
    <row r="22" customFormat="false" ht="29.85" hidden="false" customHeight="false" outlineLevel="0" collapsed="false">
      <c r="A22" s="3" t="s">
        <v>140</v>
      </c>
      <c r="B22" s="3" t="s">
        <v>28</v>
      </c>
      <c r="C22" s="3" t="s">
        <v>29</v>
      </c>
      <c r="D22" s="4" t="s">
        <v>73</v>
      </c>
      <c r="E22" s="6" t="s">
        <v>141</v>
      </c>
      <c r="F22" s="5" t="s">
        <v>20</v>
      </c>
      <c r="G22" s="6" t="s">
        <v>142</v>
      </c>
      <c r="H22" s="6" t="s">
        <v>143</v>
      </c>
      <c r="I22" s="6"/>
      <c r="J22" s="4" t="s">
        <v>23</v>
      </c>
      <c r="K22" s="3"/>
      <c r="L22" s="3"/>
      <c r="M22" s="6" t="s">
        <v>33</v>
      </c>
      <c r="N22" s="3" t="s">
        <v>39</v>
      </c>
      <c r="O22" s="7"/>
    </row>
    <row r="23" customFormat="false" ht="29.85" hidden="false" customHeight="false" outlineLevel="0" collapsed="false">
      <c r="A23" s="3" t="s">
        <v>144</v>
      </c>
      <c r="B23" s="3" t="s">
        <v>28</v>
      </c>
      <c r="C23" s="3" t="s">
        <v>29</v>
      </c>
      <c r="D23" s="4" t="s">
        <v>35</v>
      </c>
      <c r="E23" s="5" t="s">
        <v>145</v>
      </c>
      <c r="F23" s="5" t="s">
        <v>20</v>
      </c>
      <c r="G23" s="5" t="s">
        <v>146</v>
      </c>
      <c r="H23" s="6" t="s">
        <v>147</v>
      </c>
      <c r="I23" s="6"/>
      <c r="J23" s="4" t="s">
        <v>23</v>
      </c>
      <c r="K23" s="3"/>
      <c r="L23" s="3"/>
      <c r="M23" s="6" t="s">
        <v>33</v>
      </c>
      <c r="N23" s="3" t="s">
        <v>39</v>
      </c>
      <c r="O23" s="7"/>
    </row>
    <row r="24" customFormat="false" ht="44" hidden="false" customHeight="false" outlineLevel="0" collapsed="false">
      <c r="A24" s="3" t="s">
        <v>148</v>
      </c>
      <c r="B24" s="3" t="s">
        <v>28</v>
      </c>
      <c r="C24" s="3" t="s">
        <v>29</v>
      </c>
      <c r="D24" s="4" t="s">
        <v>35</v>
      </c>
      <c r="E24" s="5" t="s">
        <v>149</v>
      </c>
      <c r="F24" s="5" t="s">
        <v>20</v>
      </c>
      <c r="G24" s="6" t="s">
        <v>150</v>
      </c>
      <c r="H24" s="6" t="s">
        <v>151</v>
      </c>
      <c r="I24" s="6"/>
      <c r="J24" s="4" t="s">
        <v>23</v>
      </c>
      <c r="K24" s="3"/>
      <c r="L24" s="3"/>
      <c r="M24" s="6" t="s">
        <v>33</v>
      </c>
      <c r="N24" s="3" t="s">
        <v>39</v>
      </c>
      <c r="O24" s="7"/>
    </row>
    <row r="25" customFormat="false" ht="55.95" hidden="false" customHeight="false" outlineLevel="0" collapsed="false">
      <c r="A25" s="3" t="s">
        <v>152</v>
      </c>
      <c r="B25" s="3" t="s">
        <v>28</v>
      </c>
      <c r="C25" s="3" t="s">
        <v>17</v>
      </c>
      <c r="D25" s="4" t="s">
        <v>73</v>
      </c>
      <c r="E25" s="5" t="s">
        <v>153</v>
      </c>
      <c r="F25" s="5" t="s">
        <v>154</v>
      </c>
      <c r="G25" s="5" t="s">
        <v>155</v>
      </c>
      <c r="H25" s="6" t="s">
        <v>156</v>
      </c>
      <c r="I25" s="6"/>
      <c r="J25" s="4" t="s">
        <v>23</v>
      </c>
      <c r="K25" s="3"/>
      <c r="L25" s="3"/>
      <c r="M25" s="5" t="s">
        <v>157</v>
      </c>
      <c r="N25" s="3" t="s">
        <v>25</v>
      </c>
      <c r="O25" s="7"/>
    </row>
    <row r="26" customFormat="false" ht="44" hidden="false" customHeight="false" outlineLevel="0" collapsed="false">
      <c r="A26" s="3" t="s">
        <v>158</v>
      </c>
      <c r="B26" s="3" t="s">
        <v>16</v>
      </c>
      <c r="C26" s="3" t="s">
        <v>17</v>
      </c>
      <c r="D26" s="4" t="s">
        <v>18</v>
      </c>
      <c r="E26" s="5" t="s">
        <v>159</v>
      </c>
      <c r="F26" s="5" t="s">
        <v>160</v>
      </c>
      <c r="G26" s="6" t="s">
        <v>161</v>
      </c>
      <c r="H26" s="5" t="s">
        <v>162</v>
      </c>
      <c r="I26" s="5" t="s">
        <v>163</v>
      </c>
      <c r="J26" s="3" t="s">
        <v>51</v>
      </c>
      <c r="K26" s="3" t="s">
        <v>61</v>
      </c>
      <c r="L26" s="3"/>
      <c r="M26" s="6" t="s">
        <v>164</v>
      </c>
      <c r="N26" s="3" t="s">
        <v>25</v>
      </c>
      <c r="O26" s="7" t="s">
        <v>165</v>
      </c>
    </row>
    <row r="27" customFormat="false" ht="85.05" hidden="false" customHeight="false" outlineLevel="0" collapsed="false">
      <c r="A27" s="3" t="s">
        <v>166</v>
      </c>
      <c r="B27" s="3" t="s">
        <v>28</v>
      </c>
      <c r="C27" s="3" t="s">
        <v>29</v>
      </c>
      <c r="D27" s="4" t="s">
        <v>73</v>
      </c>
      <c r="E27" s="5" t="s">
        <v>167</v>
      </c>
      <c r="F27" s="6" t="s">
        <v>97</v>
      </c>
      <c r="G27" s="6" t="s">
        <v>168</v>
      </c>
      <c r="H27" s="6" t="s">
        <v>169</v>
      </c>
      <c r="I27" s="6"/>
      <c r="J27" s="4" t="s">
        <v>23</v>
      </c>
      <c r="K27" s="3"/>
      <c r="L27" s="3"/>
      <c r="M27" s="6" t="s">
        <v>33</v>
      </c>
      <c r="N27" s="3" t="s">
        <v>25</v>
      </c>
      <c r="O27" s="7"/>
    </row>
    <row r="28" customFormat="false" ht="79.85" hidden="false" customHeight="false" outlineLevel="0" collapsed="false">
      <c r="A28" s="3" t="s">
        <v>170</v>
      </c>
      <c r="B28" s="3" t="s">
        <v>28</v>
      </c>
      <c r="C28" s="3" t="s">
        <v>17</v>
      </c>
      <c r="D28" s="4" t="s">
        <v>18</v>
      </c>
      <c r="E28" s="5" t="s">
        <v>171</v>
      </c>
      <c r="F28" s="6" t="s">
        <v>172</v>
      </c>
      <c r="G28" s="6" t="s">
        <v>173</v>
      </c>
      <c r="H28" s="6" t="s">
        <v>174</v>
      </c>
      <c r="I28" s="5" t="s">
        <v>175</v>
      </c>
      <c r="J28" s="3" t="s">
        <v>51</v>
      </c>
      <c r="K28" s="3" t="s">
        <v>61</v>
      </c>
      <c r="L28" s="3"/>
      <c r="M28" s="6"/>
      <c r="N28" s="3" t="s">
        <v>25</v>
      </c>
      <c r="O28" s="7"/>
    </row>
    <row r="29" customFormat="false" ht="44" hidden="false" customHeight="false" outlineLevel="0" collapsed="false">
      <c r="A29" s="3" t="s">
        <v>176</v>
      </c>
      <c r="B29" s="3" t="s">
        <v>16</v>
      </c>
      <c r="C29" s="3" t="s">
        <v>17</v>
      </c>
      <c r="D29" s="4" t="s">
        <v>18</v>
      </c>
      <c r="E29" s="5" t="s">
        <v>177</v>
      </c>
      <c r="F29" s="6" t="s">
        <v>172</v>
      </c>
      <c r="G29" s="6" t="s">
        <v>178</v>
      </c>
      <c r="H29" s="5" t="s">
        <v>179</v>
      </c>
      <c r="I29" s="5" t="s">
        <v>180</v>
      </c>
      <c r="J29" s="3" t="s">
        <v>51</v>
      </c>
      <c r="K29" s="3" t="s">
        <v>52</v>
      </c>
      <c r="L29" s="3"/>
      <c r="M29" s="5" t="s">
        <v>181</v>
      </c>
      <c r="N29" s="3" t="s">
        <v>39</v>
      </c>
      <c r="O29" s="7" t="s">
        <v>182</v>
      </c>
    </row>
    <row r="30" customFormat="false" ht="41.75" hidden="false" customHeight="false" outlineLevel="0" collapsed="false">
      <c r="A30" s="3" t="s">
        <v>183</v>
      </c>
      <c r="B30" s="3" t="s">
        <v>28</v>
      </c>
      <c r="C30" s="3" t="s">
        <v>29</v>
      </c>
      <c r="D30" s="4" t="s">
        <v>73</v>
      </c>
      <c r="E30" s="5" t="s">
        <v>184</v>
      </c>
      <c r="F30" s="6" t="s">
        <v>185</v>
      </c>
      <c r="G30" s="6" t="s">
        <v>186</v>
      </c>
      <c r="H30" s="6" t="s">
        <v>187</v>
      </c>
      <c r="I30" s="6"/>
      <c r="J30" s="4" t="s">
        <v>23</v>
      </c>
      <c r="K30" s="3"/>
      <c r="L30" s="3"/>
      <c r="M30" s="6" t="s">
        <v>33</v>
      </c>
      <c r="N30" s="3" t="s">
        <v>39</v>
      </c>
      <c r="O30" s="7"/>
    </row>
    <row r="31" customFormat="false" ht="67.9" hidden="false" customHeight="false" outlineLevel="0" collapsed="false">
      <c r="A31" s="3" t="s">
        <v>188</v>
      </c>
      <c r="B31" s="3" t="s">
        <v>16</v>
      </c>
      <c r="C31" s="3" t="s">
        <v>17</v>
      </c>
      <c r="D31" s="4" t="s">
        <v>35</v>
      </c>
      <c r="E31" s="5" t="s">
        <v>189</v>
      </c>
      <c r="F31" s="5" t="s">
        <v>190</v>
      </c>
      <c r="G31" s="6" t="s">
        <v>191</v>
      </c>
      <c r="H31" s="6" t="s">
        <v>192</v>
      </c>
      <c r="I31" s="5" t="s">
        <v>193</v>
      </c>
      <c r="J31" s="3" t="s">
        <v>51</v>
      </c>
      <c r="K31" s="3" t="s">
        <v>52</v>
      </c>
      <c r="L31" s="3"/>
      <c r="M31" s="5" t="s">
        <v>194</v>
      </c>
      <c r="N31" s="3" t="s">
        <v>25</v>
      </c>
      <c r="O31" s="7" t="s">
        <v>195</v>
      </c>
    </row>
    <row r="32" customFormat="false" ht="44" hidden="false" customHeight="false" outlineLevel="0" collapsed="false">
      <c r="A32" s="3" t="s">
        <v>196</v>
      </c>
      <c r="B32" s="3" t="s">
        <v>197</v>
      </c>
      <c r="C32" s="3" t="s">
        <v>17</v>
      </c>
      <c r="D32" s="4" t="s">
        <v>18</v>
      </c>
      <c r="E32" s="5" t="s">
        <v>198</v>
      </c>
      <c r="F32" s="5" t="s">
        <v>199</v>
      </c>
      <c r="G32" s="6" t="s">
        <v>200</v>
      </c>
      <c r="H32" s="5" t="s">
        <v>201</v>
      </c>
      <c r="I32" s="5" t="s">
        <v>202</v>
      </c>
      <c r="J32" s="3" t="s">
        <v>106</v>
      </c>
      <c r="K32" s="3" t="s">
        <v>52</v>
      </c>
      <c r="L32" s="3" t="s">
        <v>107</v>
      </c>
      <c r="M32" s="6" t="s">
        <v>203</v>
      </c>
      <c r="N32" s="3" t="s">
        <v>25</v>
      </c>
      <c r="O32" s="7"/>
    </row>
    <row r="33" customFormat="false" ht="65.65" hidden="false" customHeight="false" outlineLevel="0" collapsed="false">
      <c r="A33" s="3" t="s">
        <v>204</v>
      </c>
      <c r="B33" s="3" t="s">
        <v>197</v>
      </c>
      <c r="C33" s="3" t="s">
        <v>17</v>
      </c>
      <c r="D33" s="4" t="s">
        <v>73</v>
      </c>
      <c r="E33" s="5" t="s">
        <v>205</v>
      </c>
      <c r="F33" s="5" t="s">
        <v>206</v>
      </c>
      <c r="G33" s="6" t="s">
        <v>207</v>
      </c>
      <c r="H33" s="6" t="s">
        <v>208</v>
      </c>
      <c r="I33" s="6" t="s">
        <v>209</v>
      </c>
      <c r="J33" s="3" t="s">
        <v>106</v>
      </c>
      <c r="K33" s="3" t="s">
        <v>52</v>
      </c>
      <c r="L33" s="3" t="s">
        <v>210</v>
      </c>
      <c r="M33" s="5" t="s">
        <v>211</v>
      </c>
      <c r="N33" s="3" t="s">
        <v>25</v>
      </c>
      <c r="O33" s="7"/>
    </row>
    <row r="34" customFormat="false" ht="44" hidden="false" customHeight="false" outlineLevel="0" collapsed="false">
      <c r="A34" s="3" t="s">
        <v>212</v>
      </c>
      <c r="B34" s="3" t="s">
        <v>197</v>
      </c>
      <c r="C34" s="3" t="s">
        <v>17</v>
      </c>
      <c r="D34" s="4" t="s">
        <v>73</v>
      </c>
      <c r="E34" s="5" t="s">
        <v>213</v>
      </c>
      <c r="F34" s="5" t="s">
        <v>214</v>
      </c>
      <c r="G34" s="6" t="s">
        <v>215</v>
      </c>
      <c r="H34" s="5" t="s">
        <v>216</v>
      </c>
      <c r="I34" s="6" t="s">
        <v>217</v>
      </c>
      <c r="J34" s="4" t="s">
        <v>218</v>
      </c>
      <c r="K34" s="3" t="s">
        <v>61</v>
      </c>
      <c r="L34" s="3" t="s">
        <v>219</v>
      </c>
      <c r="M34" s="5" t="s">
        <v>220</v>
      </c>
      <c r="N34" s="3" t="s">
        <v>39</v>
      </c>
      <c r="O34" s="7"/>
    </row>
    <row r="35" customFormat="false" ht="29.85" hidden="false" customHeight="false" outlineLevel="0" collapsed="false">
      <c r="A35" s="3" t="s">
        <v>221</v>
      </c>
      <c r="B35" s="3" t="s">
        <v>197</v>
      </c>
      <c r="C35" s="4" t="s">
        <v>222</v>
      </c>
      <c r="D35" s="4" t="s">
        <v>73</v>
      </c>
      <c r="E35" s="5" t="s">
        <v>223</v>
      </c>
      <c r="F35" s="5" t="s">
        <v>224</v>
      </c>
      <c r="G35" s="6" t="s">
        <v>225</v>
      </c>
      <c r="H35" s="5" t="s">
        <v>226</v>
      </c>
      <c r="I35" s="5" t="s">
        <v>227</v>
      </c>
      <c r="J35" s="3" t="s">
        <v>106</v>
      </c>
      <c r="K35" s="3" t="s">
        <v>61</v>
      </c>
      <c r="L35" s="3" t="s">
        <v>228</v>
      </c>
      <c r="M35" s="5" t="s">
        <v>229</v>
      </c>
      <c r="N35" s="3" t="s">
        <v>39</v>
      </c>
      <c r="O35" s="7"/>
    </row>
    <row r="36" customFormat="false" ht="44" hidden="false" customHeight="false" outlineLevel="0" collapsed="false">
      <c r="A36" s="3" t="s">
        <v>230</v>
      </c>
      <c r="B36" s="3" t="s">
        <v>197</v>
      </c>
      <c r="C36" s="3" t="s">
        <v>17</v>
      </c>
      <c r="D36" s="4" t="s">
        <v>73</v>
      </c>
      <c r="E36" s="5" t="s">
        <v>231</v>
      </c>
      <c r="F36" s="6" t="s">
        <v>232</v>
      </c>
      <c r="G36" s="6" t="s">
        <v>233</v>
      </c>
      <c r="H36" s="5" t="s">
        <v>234</v>
      </c>
      <c r="I36" s="6"/>
      <c r="J36" s="4" t="s">
        <v>23</v>
      </c>
      <c r="K36" s="3"/>
      <c r="L36" s="3"/>
      <c r="M36" s="5" t="s">
        <v>235</v>
      </c>
      <c r="N36" s="3" t="s">
        <v>25</v>
      </c>
      <c r="O36" s="7"/>
    </row>
    <row r="37" customFormat="false" ht="29.85" hidden="false" customHeight="false" outlineLevel="0" collapsed="false">
      <c r="A37" s="3" t="s">
        <v>236</v>
      </c>
      <c r="B37" s="3" t="s">
        <v>197</v>
      </c>
      <c r="C37" s="3" t="s">
        <v>17</v>
      </c>
      <c r="D37" s="4" t="s">
        <v>73</v>
      </c>
      <c r="E37" s="5" t="s">
        <v>237</v>
      </c>
      <c r="F37" s="5" t="s">
        <v>238</v>
      </c>
      <c r="G37" s="6" t="s">
        <v>239</v>
      </c>
      <c r="H37" s="5" t="s">
        <v>240</v>
      </c>
      <c r="I37" s="6"/>
      <c r="J37" s="4" t="s">
        <v>23</v>
      </c>
      <c r="K37" s="3"/>
      <c r="L37" s="3"/>
      <c r="M37" s="6" t="s">
        <v>241</v>
      </c>
      <c r="N37" s="3" t="s">
        <v>39</v>
      </c>
      <c r="O37" s="7"/>
    </row>
    <row r="38" customFormat="false" ht="29.85" hidden="false" customHeight="false" outlineLevel="0" collapsed="false">
      <c r="A38" s="3" t="s">
        <v>242</v>
      </c>
      <c r="B38" s="3" t="s">
        <v>197</v>
      </c>
      <c r="C38" s="3" t="s">
        <v>17</v>
      </c>
      <c r="D38" s="4" t="s">
        <v>73</v>
      </c>
      <c r="E38" s="5" t="s">
        <v>243</v>
      </c>
      <c r="F38" s="5" t="s">
        <v>244</v>
      </c>
      <c r="G38" s="6" t="s">
        <v>245</v>
      </c>
      <c r="H38" s="6" t="s">
        <v>208</v>
      </c>
      <c r="I38" s="6"/>
      <c r="J38" s="4" t="s">
        <v>23</v>
      </c>
      <c r="K38" s="3"/>
      <c r="L38" s="3"/>
      <c r="M38" s="5" t="s">
        <v>246</v>
      </c>
      <c r="N38" s="3" t="s">
        <v>25</v>
      </c>
      <c r="O38" s="7"/>
    </row>
    <row r="39" customFormat="false" ht="29.85" hidden="false" customHeight="false" outlineLevel="0" collapsed="false">
      <c r="A39" s="3" t="s">
        <v>247</v>
      </c>
      <c r="B39" s="3" t="s">
        <v>197</v>
      </c>
      <c r="C39" s="3" t="s">
        <v>17</v>
      </c>
      <c r="D39" s="4" t="s">
        <v>73</v>
      </c>
      <c r="E39" s="5" t="s">
        <v>248</v>
      </c>
      <c r="F39" s="5" t="s">
        <v>244</v>
      </c>
      <c r="G39" s="6" t="s">
        <v>249</v>
      </c>
      <c r="H39" s="6" t="s">
        <v>208</v>
      </c>
      <c r="I39" s="6"/>
      <c r="J39" s="4" t="s">
        <v>23</v>
      </c>
      <c r="K39" s="3"/>
      <c r="L39" s="3"/>
      <c r="M39" s="5" t="s">
        <v>246</v>
      </c>
      <c r="N39" s="3" t="s">
        <v>25</v>
      </c>
      <c r="O39" s="7"/>
    </row>
  </sheetData>
  <autoFilter ref="A1:O39"/>
  <conditionalFormatting sqref="A2:O39">
    <cfRule type="expression" priority="2" aboveAverage="0" equalAverage="0" bottom="0" percent="0" rank="0" text="" dxfId="7">
      <formula>$J2="Fail"</formula>
    </cfRule>
    <cfRule type="expression" priority="3" aboveAverage="0" equalAverage="0" bottom="0" percent="0" rank="0" text="" dxfId="8">
      <formula>$J2="Pass"</formula>
    </cfRule>
    <cfRule type="expression" priority="4" aboveAverage="0" equalAverage="0" bottom="0" percent="0" rank="0" text="" dxfId="9">
      <formula>$J2="확인필요"</formula>
    </cfRule>
  </conditionalFormatting>
  <conditionalFormatting sqref="B2:B39">
    <cfRule type="expression" priority="5" aboveAverage="0" equalAverage="0" bottom="0" percent="0" rank="0" text="" dxfId="10">
      <formula>$B2="QA추가"</formula>
    </cfRule>
  </conditionalFormatting>
  <dataValidations count="2">
    <dataValidation allowBlank="false" errorStyle="stop" operator="between" showDropDown="false" showErrorMessage="false" showInputMessage="false" sqref="B2:B39" type="list">
      <formula1>"AI,AI수정,QA추가"</formula1>
      <formula2>0</formula2>
    </dataValidation>
    <dataValidation allowBlank="false" errorStyle="stop" operator="between" showDropDown="false" showErrorMessage="false" showInputMessage="false" sqref="J2:J39" type="list">
      <formula1>"Pass,Fail,확인필요,미실행"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</cols>
  <sheetData>
    <row r="1" customFormat="false" ht="21.6" hidden="false" customHeight="false" outlineLevel="0" collapsed="false">
      <c r="A1" s="8" t="s">
        <v>250</v>
      </c>
    </row>
    <row r="2" customFormat="false" ht="15" hidden="false" customHeight="false" outlineLevel="0" collapsed="false">
      <c r="A2" s="9" t="s">
        <v>251</v>
      </c>
    </row>
    <row r="3" customFormat="false" ht="15" hidden="false" customHeight="false" outlineLevel="0" collapsed="false">
      <c r="A3" s="10" t="s">
        <v>252</v>
      </c>
    </row>
    <row r="4" customFormat="false" ht="17.15" hidden="false" customHeight="false" outlineLevel="0" collapsed="false">
      <c r="A4" s="2" t="s">
        <v>1</v>
      </c>
      <c r="B4" s="2" t="s">
        <v>253</v>
      </c>
      <c r="C4" s="1" t="s">
        <v>51</v>
      </c>
      <c r="D4" s="1" t="s">
        <v>106</v>
      </c>
      <c r="E4" s="2" t="s">
        <v>218</v>
      </c>
      <c r="F4" s="2" t="s">
        <v>23</v>
      </c>
    </row>
    <row r="5" customFormat="false" ht="15" hidden="false" customHeight="false" outlineLevel="0" collapsed="false">
      <c r="A5" s="11" t="s">
        <v>28</v>
      </c>
      <c r="B5" s="11" t="n">
        <f aca="false">COUNTIF(테스트케이스!$B$2:$B$39,A5)</f>
        <v>20</v>
      </c>
      <c r="C5" s="11" t="n">
        <f aca="false">COUNTIFS(테스트케이스!$B$2:$B$39,A5,테스트케이스!$J$2:$J$39,"Pass")</f>
        <v>1</v>
      </c>
      <c r="D5" s="11" t="n">
        <f aca="false">COUNTIFS(테스트케이스!$B$2:$B$39,A5,테스트케이스!$J$2:$J$39,"Fail")</f>
        <v>0</v>
      </c>
      <c r="E5" s="11" t="n">
        <f aca="false">COUNTIFS(테스트케이스!$B$2:$B$39,A5,테스트케이스!$J$2:$J$39,"확인필요")</f>
        <v>0</v>
      </c>
      <c r="F5" s="11" t="n">
        <f aca="false">COUNTIFS(테스트케이스!$B$2:$B$39,A5,테스트케이스!$J$2:$J$39,"미실행")</f>
        <v>19</v>
      </c>
    </row>
    <row r="6" customFormat="false" ht="17.15" hidden="false" customHeight="false" outlineLevel="0" collapsed="false">
      <c r="A6" s="11" t="s">
        <v>254</v>
      </c>
      <c r="B6" s="11" t="n">
        <f aca="false">COUNTIF(테스트케이스!$B$2:$B$39,A6)</f>
        <v>10</v>
      </c>
      <c r="C6" s="11" t="n">
        <f aca="false">COUNTIFS(테스트케이스!$B$2:$B$39,A6,테스트케이스!$J$2:$J$39,"Pass")</f>
        <v>7</v>
      </c>
      <c r="D6" s="11" t="n">
        <f aca="false">COUNTIFS(테스트케이스!$B$2:$B$39,A6,테스트케이스!$J$2:$J$39,"Fail")</f>
        <v>1</v>
      </c>
      <c r="E6" s="11" t="n">
        <f aca="false">COUNTIFS(테스트케이스!$B$2:$B$39,A6,테스트케이스!$J$2:$J$39,"확인필요")</f>
        <v>0</v>
      </c>
      <c r="F6" s="11" t="n">
        <f aca="false">COUNTIFS(테스트케이스!$B$2:$B$39,A6,테스트케이스!$J$2:$J$39,"미실행")</f>
        <v>2</v>
      </c>
    </row>
    <row r="7" customFormat="false" ht="17.15" hidden="false" customHeight="false" outlineLevel="0" collapsed="false">
      <c r="A7" s="11" t="s">
        <v>255</v>
      </c>
      <c r="B7" s="11" t="n">
        <f aca="false">COUNTIF(테스트케이스!$B$2:$B$39,A7)</f>
        <v>8</v>
      </c>
      <c r="C7" s="11" t="n">
        <f aca="false">COUNTIFS(테스트케이스!$B$2:$B$39,A7,테스트케이스!$J$2:$J$39,"Pass")</f>
        <v>0</v>
      </c>
      <c r="D7" s="11" t="n">
        <f aca="false">COUNTIFS(테스트케이스!$B$2:$B$39,A7,테스트케이스!$J$2:$J$39,"Fail")</f>
        <v>3</v>
      </c>
      <c r="E7" s="11" t="n">
        <f aca="false">COUNTIFS(테스트케이스!$B$2:$B$39,A7,테스트케이스!$J$2:$J$39,"확인필요")</f>
        <v>1</v>
      </c>
      <c r="F7" s="11" t="n">
        <f aca="false">COUNTIFS(테스트케이스!$B$2:$B$39,A7,테스트케이스!$J$2:$J$39,"미실행")</f>
        <v>4</v>
      </c>
    </row>
    <row r="8" customFormat="false" ht="15" hidden="false" customHeight="false" outlineLevel="0" collapsed="false">
      <c r="A8" s="12" t="s">
        <v>256</v>
      </c>
      <c r="B8" s="12" t="n">
        <f aca="false">SUM(B5:B7)</f>
        <v>38</v>
      </c>
      <c r="C8" s="12" t="n">
        <f aca="false">SUM(C5:C7)</f>
        <v>8</v>
      </c>
      <c r="D8" s="12" t="n">
        <f aca="false">SUM(D5:D7)</f>
        <v>4</v>
      </c>
      <c r="E8" s="12" t="n">
        <f aca="false">SUM(E5:E7)</f>
        <v>1</v>
      </c>
      <c r="F8" s="12" t="n">
        <f aca="false">SUM(F5:F7)</f>
        <v>25</v>
      </c>
    </row>
    <row r="10" customFormat="false" ht="15" hidden="false" customHeight="false" outlineLevel="0" collapsed="false">
      <c r="A10" s="10" t="s">
        <v>257</v>
      </c>
    </row>
    <row r="11" customFormat="false" ht="17.15" hidden="false" customHeight="false" outlineLevel="0" collapsed="false">
      <c r="A11" s="13" t="s">
        <v>258</v>
      </c>
      <c r="B11" s="14" t="n">
        <f aca="false">B5+B6</f>
        <v>30</v>
      </c>
    </row>
    <row r="12" customFormat="false" ht="17.15" hidden="false" customHeight="false" outlineLevel="0" collapsed="false">
      <c r="A12" s="15" t="s">
        <v>259</v>
      </c>
      <c r="B12" s="14" t="n">
        <f aca="false">B6</f>
        <v>10</v>
      </c>
    </row>
    <row r="13" customFormat="false" ht="17.15" hidden="false" customHeight="false" outlineLevel="0" collapsed="false">
      <c r="A13" s="13" t="s">
        <v>260</v>
      </c>
      <c r="B13" s="14" t="n">
        <f aca="false">B7</f>
        <v>8</v>
      </c>
    </row>
    <row r="14" customFormat="false" ht="17.15" hidden="false" customHeight="false" outlineLevel="0" collapsed="false">
      <c r="A14" s="13" t="s">
        <v>261</v>
      </c>
      <c r="B14" s="14" t="n">
        <f aca="false">COUNTIFS(테스트케이스!$B$2:$B$39,"AI",테스트케이스!$J$2:$J$39,"Fail")</f>
        <v>0</v>
      </c>
    </row>
    <row r="15" customFormat="false" ht="17.15" hidden="false" customHeight="false" outlineLevel="0" collapsed="false">
      <c r="A15" s="13" t="s">
        <v>262</v>
      </c>
      <c r="B15" s="14" t="n">
        <f aca="false">COUNTIFS(테스트케이스!$B$2:$B$39,"AI수정",테스트케이스!$J$2:$J$39,"Fail")+COUNTIFS(테스트케이스!$B$2:$B$39,"QA추가",테스트케이스!$J$2:$J$39,"Fail")</f>
        <v>4</v>
      </c>
    </row>
    <row r="17" customFormat="false" ht="15" hidden="false" customHeight="false" outlineLevel="0" collapsed="false">
      <c r="A17" s="10" t="s">
        <v>263</v>
      </c>
    </row>
    <row r="18" customFormat="false" ht="31.5" hidden="false" customHeight="true" outlineLevel="0" collapsed="false">
      <c r="A18" s="16" t="s">
        <v>264</v>
      </c>
      <c r="B18" s="16"/>
      <c r="C18" s="16"/>
      <c r="D18" s="16"/>
      <c r="E18" s="16"/>
      <c r="F18" s="16"/>
    </row>
    <row r="19" customFormat="false" ht="31.5" hidden="false" customHeight="true" outlineLevel="0" collapsed="false">
      <c r="A19" s="16" t="s">
        <v>265</v>
      </c>
      <c r="B19" s="16"/>
      <c r="C19" s="16"/>
      <c r="D19" s="16"/>
      <c r="E19" s="16"/>
      <c r="F19" s="16"/>
    </row>
    <row r="20" customFormat="false" ht="31.5" hidden="false" customHeight="true" outlineLevel="0" collapsed="false">
      <c r="A20" s="16" t="s">
        <v>266</v>
      </c>
      <c r="B20" s="16"/>
      <c r="C20" s="16"/>
      <c r="D20" s="16"/>
      <c r="E20" s="16"/>
      <c r="F20" s="16"/>
    </row>
    <row r="21" customFormat="false" ht="31.5" hidden="false" customHeight="true" outlineLevel="0" collapsed="false">
      <c r="A21" s="16" t="s">
        <v>267</v>
      </c>
      <c r="B21" s="16"/>
      <c r="C21" s="16"/>
      <c r="D21" s="16"/>
      <c r="E21" s="16"/>
      <c r="F21" s="16"/>
    </row>
    <row r="22" customFormat="false" ht="31.5" hidden="false" customHeight="true" outlineLevel="0" collapsed="false">
      <c r="A22" s="16" t="s">
        <v>268</v>
      </c>
      <c r="B22" s="16"/>
      <c r="C22" s="16"/>
      <c r="D22" s="16"/>
      <c r="E22" s="16"/>
      <c r="F22" s="16"/>
    </row>
  </sheetData>
  <mergeCells count="5">
    <mergeCell ref="A18:F18"/>
    <mergeCell ref="A19:F19"/>
    <mergeCell ref="A20:F20"/>
    <mergeCell ref="A21:F21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0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8" min="8" style="0" width="52"/>
  </cols>
  <sheetData>
    <row r="1" customFormat="false" ht="17.15" hidden="false" customHeight="false" outlineLevel="0" collapsed="false">
      <c r="A1" s="2" t="s">
        <v>11</v>
      </c>
      <c r="B1" s="2" t="s">
        <v>269</v>
      </c>
      <c r="C1" s="2" t="s">
        <v>3</v>
      </c>
      <c r="D1" s="2" t="s">
        <v>270</v>
      </c>
      <c r="E1" s="2" t="s">
        <v>271</v>
      </c>
      <c r="F1" s="2" t="s">
        <v>272</v>
      </c>
      <c r="G1" s="2" t="s">
        <v>273</v>
      </c>
      <c r="H1" s="2" t="s">
        <v>274</v>
      </c>
    </row>
    <row r="2" customFormat="false" ht="15" hidden="false" customHeight="false" outlineLevel="0" collapsed="false">
      <c r="A2" s="17" t="s">
        <v>107</v>
      </c>
      <c r="B2" s="18" t="s">
        <v>275</v>
      </c>
      <c r="C2" s="17" t="s">
        <v>276</v>
      </c>
      <c r="D2" s="17" t="s">
        <v>277</v>
      </c>
      <c r="E2" s="17" t="s">
        <v>278</v>
      </c>
      <c r="F2" s="17" t="s">
        <v>279</v>
      </c>
      <c r="G2" s="17" t="s">
        <v>280</v>
      </c>
      <c r="H2" s="19" t="s">
        <v>281</v>
      </c>
    </row>
    <row r="3" customFormat="false" ht="15" hidden="false" customHeight="false" outlineLevel="0" collapsed="false">
      <c r="A3" s="17" t="s">
        <v>210</v>
      </c>
      <c r="B3" s="18" t="s">
        <v>282</v>
      </c>
      <c r="C3" s="17" t="s">
        <v>276</v>
      </c>
      <c r="D3" s="17" t="s">
        <v>277</v>
      </c>
      <c r="E3" s="17" t="s">
        <v>204</v>
      </c>
      <c r="F3" s="17" t="s">
        <v>279</v>
      </c>
      <c r="G3" s="17" t="s">
        <v>280</v>
      </c>
      <c r="H3" s="19" t="s">
        <v>283</v>
      </c>
    </row>
    <row r="4" customFormat="false" ht="15" hidden="false" customHeight="false" outlineLevel="0" collapsed="false">
      <c r="A4" s="17" t="s">
        <v>228</v>
      </c>
      <c r="B4" s="18" t="s">
        <v>284</v>
      </c>
      <c r="C4" s="17" t="s">
        <v>276</v>
      </c>
      <c r="D4" s="17" t="s">
        <v>285</v>
      </c>
      <c r="E4" s="17" t="s">
        <v>221</v>
      </c>
      <c r="F4" s="17" t="s">
        <v>279</v>
      </c>
      <c r="G4" s="17" t="s">
        <v>280</v>
      </c>
      <c r="H4" s="19" t="s">
        <v>286</v>
      </c>
    </row>
    <row r="5" customFormat="false" ht="29.85" hidden="false" customHeight="false" outlineLevel="0" collapsed="false">
      <c r="A5" s="17" t="s">
        <v>219</v>
      </c>
      <c r="B5" s="18" t="s">
        <v>287</v>
      </c>
      <c r="C5" s="17" t="s">
        <v>288</v>
      </c>
      <c r="D5" s="17" t="s">
        <v>289</v>
      </c>
      <c r="E5" s="17" t="s">
        <v>212</v>
      </c>
      <c r="F5" s="17" t="s">
        <v>279</v>
      </c>
      <c r="G5" s="17" t="s">
        <v>280</v>
      </c>
      <c r="H5" s="19" t="s">
        <v>290</v>
      </c>
    </row>
  </sheetData>
  <hyperlinks>
    <hyperlink ref="H2" r:id="rId1" display="https://github.com/sophiachae/hotel-booking-qa/issues/1"/>
    <hyperlink ref="H3" r:id="rId2" display="https://github.com/sophiachae/hotel-booking-qa/issues/2"/>
    <hyperlink ref="H4" r:id="rId3" display="https://github.com/sophiachae/hotel-booking-qa/issues/3"/>
    <hyperlink ref="H5" r:id="rId4" display="https://github.com/sophiachae/hotel-booking-qa/issues/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90"/>
  </cols>
  <sheetData>
    <row r="1" customFormat="false" ht="17.15" hidden="false" customHeight="false" outlineLevel="0" collapsed="false">
      <c r="A1" s="2" t="s">
        <v>291</v>
      </c>
      <c r="B1" s="2" t="s">
        <v>292</v>
      </c>
    </row>
    <row r="2" customFormat="false" ht="15" hidden="false" customHeight="false" outlineLevel="0" collapsed="false">
      <c r="A2" s="20" t="s">
        <v>1</v>
      </c>
      <c r="B2" s="21" t="s">
        <v>293</v>
      </c>
    </row>
    <row r="3" customFormat="false" ht="15" hidden="false" customHeight="false" outlineLevel="0" collapsed="false">
      <c r="A3" s="20" t="s">
        <v>9</v>
      </c>
      <c r="B3" s="21" t="s">
        <v>294</v>
      </c>
    </row>
    <row r="4" customFormat="false" ht="15" hidden="false" customHeight="false" outlineLevel="0" collapsed="false">
      <c r="A4" s="22" t="s">
        <v>295</v>
      </c>
      <c r="B4" s="21" t="s">
        <v>296</v>
      </c>
    </row>
    <row r="5" customFormat="false" ht="15" hidden="false" customHeight="false" outlineLevel="0" collapsed="false">
      <c r="A5" s="22" t="s">
        <v>297</v>
      </c>
      <c r="B5" s="21" t="s">
        <v>298</v>
      </c>
    </row>
    <row r="6" customFormat="false" ht="15" hidden="false" customHeight="false" outlineLevel="0" collapsed="false">
      <c r="A6" s="20" t="s">
        <v>20</v>
      </c>
      <c r="B6" s="23" t="s">
        <v>299</v>
      </c>
    </row>
    <row r="7" customFormat="false" ht="15" hidden="false" customHeight="false" outlineLevel="0" collapsed="false">
      <c r="A7" s="22" t="s">
        <v>300</v>
      </c>
      <c r="B7" s="21" t="s">
        <v>301</v>
      </c>
    </row>
    <row r="8" customFormat="false" ht="15" hidden="false" customHeight="false" outlineLevel="0" collapsed="false">
      <c r="A8" s="20" t="s">
        <v>302</v>
      </c>
      <c r="B8" s="23" t="s">
        <v>303</v>
      </c>
    </row>
    <row r="9" customFormat="false" ht="15" hidden="false" customHeight="false" outlineLevel="0" collapsed="false">
      <c r="A9" s="20" t="s">
        <v>304</v>
      </c>
      <c r="B9" s="21" t="s">
        <v>305</v>
      </c>
    </row>
    <row r="10" customFormat="false" ht="15" hidden="false" customHeight="false" outlineLevel="0" collapsed="false">
      <c r="A10" s="20" t="s">
        <v>306</v>
      </c>
      <c r="B10" s="21" t="s">
        <v>307</v>
      </c>
    </row>
    <row r="11" customFormat="false" ht="15" hidden="false" customHeight="false" outlineLevel="0" collapsed="false">
      <c r="A11" s="20" t="s">
        <v>308</v>
      </c>
      <c r="B11" s="21" t="s">
        <v>309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2026-10-08T07:58:55Z</dcterms:created>
  <dc:creator>openpyxl</dc:creator>
  <dc:description/>
  <dc:language>en-US</dc:language>
  <cp:lastModifiedBy/>
  <dcterms:modified xsi:type="dcterms:W3CDTF">2026-10-08T07:58:55Z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