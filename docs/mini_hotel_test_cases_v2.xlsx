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  <font>
      <b val="1"/>
      <color rgb="FF2F5D62"/>
      <sz val="11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Relationship Type="http://schemas.openxmlformats.org/officeDocument/2006/relationships/hyperlink" Target="https://github.com/sophiachae/hotel-booking-qa/issues/15" TargetMode="External" Id="rId1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
[QA 정책 제안 2026-10-13, 확정 B] 국가 선택 + +국가번호(E.164) 형식으로 국제 전화번호 허용. 선택지: A 국내 형식만 유지(안내 문구 추가) / B 국제 형식 허용 / C 전화번호 선택 입력. 이유: 숙박 서비스는 해외 고객 전제, 영문 이름 허용과 일관. 한 형식으로 저장하면 PHONE_RE가 011·016 앞자리와 하이픈 혼용까지 허용하는 문제(#5)도 국가별 규칙으로 재정의 가능. 연락처는 숙소 운영에 필요해 C보다 나음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inlineStr">
        <is>
          <t>로그인 화면에서 TEST@MiniHotel.test / Test1234로 로그인 → 헤더 "테스트회원님" 표시 (test@minihotel.test 계정으로 로그인)</t>
        </is>
      </c>
      <c r="J70" s="29" t="inlineStr">
        <is>
          <t>Pass</t>
        </is>
      </c>
      <c r="K70" s="28" t="inlineStr">
        <is>
          <t>2026-10-13</t>
        </is>
      </c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
QA가 codegen 녹화 후 직접 다듬어 자동화 (tests/ui/my-tests.spec.ts). 기대값을 일부러 틀리게 바꿔 실패하는 것 확인
영역은 API이나 UI로 자동화: 화면 로그인도 같은 API(POST /api/auth/login)를 거침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inlineStr">
        <is>
          <t>비밀번호 Test1234a / 비밀번호 확인 Test1234b로 가입 → signup-password-confirm-error 표시</t>
        </is>
      </c>
      <c r="J72" s="29" t="inlineStr">
        <is>
          <t>Pass</t>
        </is>
      </c>
      <c r="K72" s="28" t="inlineStr">
        <is>
          <t>2026-10-13</t>
        </is>
      </c>
      <c r="L72" s="28" t="n"/>
      <c r="M72" s="30" t="inlineStr">
        <is>
          <t>근거: 명세 390행 화면 data-testid signup-password-confirm-error (불일치 시 동작을 적은 문장은 없음)
QA가 codegen 녹화 후 직접 다듬어 자동화 (tests/ui/my-tests.spec.ts). 기대값을 일부러 틀리게 바꿔 실패하는 것 확인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AI수정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/api/auth/signup으로 각각 가입 후 같은 비밀번호로 로그인
① Abcd1234!
② "Abcd 1234" (가운데 공백)
③ " Abcd1234" (앞 공백) 가입 → 공백 없이 "Abcd1234"로 로그인 [QA 추가]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
출처 AI수정: AI 초안(①②)은 Pass, #14를 찾은 앞 공백 케이스(③)는 QA가 추가. AI 원문 절차는 O열에 보존
[QA 정책 제안 2026-10-13, 확정 A + 비밀번호 보기] 가입·비밀번호 설정 시 앞뒤 공백이 있으면 400과 "비밀번호 앞뒤에 공백을 넣을 수 없어요" 안내, 가운데 공백은 NIST 권장대로 허용, 비밀번호 입력란에 보기(👁) 버튼 추가. 선택지: A 앞뒤 공백 거부 / B 자동 제거. B는 사용자가 정한 비밀번호를 몰래 바꾸고 기존 계정 로그인이 깨질 수 있어 제외</t>
        </is>
      </c>
      <c r="N74" s="28" t="inlineStr">
        <is>
          <t>Low</t>
        </is>
      </c>
      <c r="O74" s="32" t="inlineStr">
        <is>
          <t>Abcd1234!, "Abcd 1234"로 가입</t>
        </is>
      </c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inlineStr">
        <is>
          <t>카카오(kakao-1001)로 가입·로그아웃 후 kakao.tester@kakao.test + Abcd1234로 이메일 로그인 → login-error의 data-code = INVALID_CREDENTIALS</t>
        </is>
      </c>
      <c r="J78" s="29" t="inlineStr">
        <is>
          <t>Pass</t>
        </is>
      </c>
      <c r="K78" s="28" t="inlineStr">
        <is>
          <t>2026-10-13</t>
        </is>
      </c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
2026-10-13 수동 확인: 기대결과 401은 충족. 일반 실패 문구만 나와 소셜 가입 사용자가 로그인 방법을 알기 어려움 → 개선 제안 #15 (계정별 문구 대신 모든 실패에 같은 소셜 로그인 안내). 실행결과는 자동화 작성 후 기록
QA가 codegen 녹화 후 직접 다듬어 자동화 (tests/ui/my-tests.spec.ts). 기대값을 일부러 틀리게 바꿔 실패하는 것 확인
영역은 API이나 UI로 자동화: 화면 로그인도 같은 API를 거치고, login-error의 data-code로 INVALID_CREDENTIALS 확인
관련 개선 제안 #15 (일반 실패 문구만 나와 로그인 방법을 알기 어려움)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  <col width="13" customWidth="1" style="25" min="3" max="3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 v1.0·v1.1을 따로 집계합니다 (v1.0: 2~39행, v1.1: 40~81행).</t>
        </is>
      </c>
    </row>
    <row r="3" ht="15" customHeight="1" s="25">
      <c r="A3" s="35" t="inlineStr">
        <is>
          <t>출처별</t>
        </is>
      </c>
    </row>
    <row r="4" ht="15" customHeight="1" s="25">
      <c r="A4" s="49" t="inlineStr">
        <is>
          <t>v1.0 (TC-01~38)</t>
        </is>
      </c>
    </row>
    <row r="5" ht="17.15" customHeight="1" s="25">
      <c r="A5" s="27" t="inlineStr">
        <is>
          <t>출처</t>
        </is>
      </c>
      <c r="B5" s="27" t="inlineStr">
        <is>
          <t>건수</t>
        </is>
      </c>
      <c r="C5" s="27" t="inlineStr">
        <is>
          <t>Pass</t>
        </is>
      </c>
      <c r="D5" s="27" t="inlineStr">
        <is>
          <t>Fail</t>
        </is>
      </c>
      <c r="E5" s="27" t="inlineStr">
        <is>
          <t>확인필요</t>
        </is>
      </c>
      <c r="F5" s="27" t="inlineStr">
        <is>
          <t>미실행</t>
        </is>
      </c>
    </row>
    <row r="6" ht="17.15" customHeight="1" s="25">
      <c r="A6" s="36" t="inlineStr">
        <is>
          <t>AI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AI수정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7.15" customHeight="1" s="25">
      <c r="A8" s="36" t="inlineStr">
        <is>
          <t>QA추가</t>
        </is>
      </c>
      <c r="B8" s="36">
        <f>COUNTIF(테스트케이스!$B$2:$B$39,A8)</f>
        <v/>
      </c>
      <c r="C8" s="36">
        <f>COUNTIFS(테스트케이스!$B$2:$B$39,A8,테스트케이스!$J$2:$J$39,"Pass")</f>
        <v/>
      </c>
      <c r="D8" s="36">
        <f>COUNTIFS(테스트케이스!$B$2:$B$39,A8,테스트케이스!$J$2:$J$39,"Fail")</f>
        <v/>
      </c>
      <c r="E8" s="36">
        <f>COUNTIFS(테스트케이스!$B$2:$B$39,A8,테스트케이스!$J$2:$J$39,"확인필요")</f>
        <v/>
      </c>
      <c r="F8" s="36">
        <f>COUNTIFS(테스트케이스!$B$2:$B$39,A8,테스트케이스!$J$2:$J$39,"미실행")</f>
        <v/>
      </c>
    </row>
    <row r="9" ht="15" customHeight="1" s="25">
      <c r="A9" s="37" t="inlineStr">
        <is>
          <t>합계</t>
        </is>
      </c>
      <c r="B9" s="37">
        <f>SUM(B6:B8)</f>
        <v/>
      </c>
      <c r="C9" s="37">
        <f>SUM(C6:C8)</f>
        <v/>
      </c>
      <c r="D9" s="37">
        <f>SUM(D6:D8)</f>
        <v/>
      </c>
      <c r="E9" s="37">
        <f>SUM(E6:E8)</f>
        <v/>
      </c>
      <c r="F9" s="37">
        <f>SUM(F6:F8)</f>
        <v/>
      </c>
    </row>
    <row r="10" s="25"/>
    <row r="11" ht="15" customHeight="1" s="25">
      <c r="A11" s="49" t="inlineStr">
        <is>
          <t>v1.1 (TC-39~80)</t>
        </is>
      </c>
    </row>
    <row r="12" ht="17.15" customHeight="1" s="25">
      <c r="A12" s="27" t="inlineStr">
        <is>
          <t>출처</t>
        </is>
      </c>
      <c r="B12" s="27" t="inlineStr">
        <is>
          <t>건수</t>
        </is>
      </c>
      <c r="C12" s="27" t="inlineStr">
        <is>
          <t>Pass</t>
        </is>
      </c>
      <c r="D12" s="27" t="inlineStr">
        <is>
          <t>Fail</t>
        </is>
      </c>
      <c r="E12" s="27" t="inlineStr">
        <is>
          <t>확인필요</t>
        </is>
      </c>
      <c r="F12" s="27" t="inlineStr">
        <is>
          <t>미실행</t>
        </is>
      </c>
    </row>
    <row r="13" ht="17.15" customHeight="1" s="25">
      <c r="A13" s="36" t="inlineStr">
        <is>
          <t>AI</t>
        </is>
      </c>
      <c r="B13" s="36">
        <f>COUNTIF(테스트케이스!$B$40:$B$81,A13)</f>
        <v/>
      </c>
      <c r="C13" s="36">
        <f>COUNTIFS(테스트케이스!$B$40:$B$81,A13,테스트케이스!$J$40:$J$81,"Pass")</f>
        <v/>
      </c>
      <c r="D13" s="36">
        <f>COUNTIFS(테스트케이스!$B$40:$B$81,A13,테스트케이스!$J$40:$J$81,"Fail")</f>
        <v/>
      </c>
      <c r="E13" s="36">
        <f>COUNTIFS(테스트케이스!$B$40:$B$81,A13,테스트케이스!$J$40:$J$81,"확인필요")</f>
        <v/>
      </c>
      <c r="F13" s="36">
        <f>COUNTIFS(테스트케이스!$B$40:$B$81,A13,테스트케이스!$J$40:$J$81,"미실행")</f>
        <v/>
      </c>
    </row>
    <row r="14" ht="17.15" customHeight="1" s="25">
      <c r="A14" s="36" t="inlineStr">
        <is>
          <t>AI수정</t>
        </is>
      </c>
      <c r="B14" s="36">
        <f>COUNTIF(테스트케이스!$B$40:$B$81,A14)</f>
        <v/>
      </c>
      <c r="C14" s="36">
        <f>COUNTIFS(테스트케이스!$B$40:$B$81,A14,테스트케이스!$J$40:$J$81,"Pass")</f>
        <v/>
      </c>
      <c r="D14" s="36">
        <f>COUNTIFS(테스트케이스!$B$40:$B$81,A14,테스트케이스!$J$40:$J$81,"Fail")</f>
        <v/>
      </c>
      <c r="E14" s="36">
        <f>COUNTIFS(테스트케이스!$B$40:$B$81,A14,테스트케이스!$J$40:$J$81,"확인필요")</f>
        <v/>
      </c>
      <c r="F14" s="36">
        <f>COUNTIFS(테스트케이스!$B$40:$B$81,A14,테스트케이스!$J$40:$J$81,"미실행")</f>
        <v/>
      </c>
    </row>
    <row r="15" ht="17.15" customHeight="1" s="25">
      <c r="A15" s="36" t="inlineStr">
        <is>
          <t>QA추가</t>
        </is>
      </c>
      <c r="B15" s="36">
        <f>COUNTIF(테스트케이스!$B$40:$B$81,A15)</f>
        <v/>
      </c>
      <c r="C15" s="36">
        <f>COUNTIFS(테스트케이스!$B$40:$B$81,A15,테스트케이스!$J$40:$J$81,"Pass")</f>
        <v/>
      </c>
      <c r="D15" s="36">
        <f>COUNTIFS(테스트케이스!$B$40:$B$81,A15,테스트케이스!$J$40:$J$81,"Fail")</f>
        <v/>
      </c>
      <c r="E15" s="36">
        <f>COUNTIFS(테스트케이스!$B$40:$B$81,A15,테스트케이스!$J$40:$J$81,"확인필요")</f>
        <v/>
      </c>
      <c r="F15" s="36">
        <f>COUNTIFS(테스트케이스!$B$40:$B$81,A15,테스트케이스!$J$40:$J$81,"미실행")</f>
        <v/>
      </c>
    </row>
    <row r="16" ht="15" customHeight="1" s="25">
      <c r="A16" s="37" t="inlineStr">
        <is>
          <t>합계</t>
        </is>
      </c>
      <c r="B16" s="37">
        <f>SUM(B13:B15)</f>
        <v/>
      </c>
      <c r="C16" s="37">
        <f>SUM(C13:C15)</f>
        <v/>
      </c>
      <c r="D16" s="37">
        <f>SUM(D13:D15)</f>
        <v/>
      </c>
      <c r="E16" s="37">
        <f>SUM(E13:E15)</f>
        <v/>
      </c>
      <c r="F16" s="37">
        <f>SUM(F13:F15)</f>
        <v/>
      </c>
    </row>
    <row r="17" s="25"/>
    <row r="18" ht="15" customHeight="1" s="25">
      <c r="A18" s="35" t="inlineStr">
        <is>
          <t>핵심 지표</t>
        </is>
      </c>
    </row>
    <row r="19" ht="17.15" customHeight="1" s="25">
      <c r="A19" s="27" t="inlineStr">
        <is>
          <t>지표</t>
        </is>
      </c>
      <c r="B19" s="27" t="inlineStr">
        <is>
          <t>v1.0</t>
        </is>
      </c>
      <c r="C19" s="27" t="inlineStr">
        <is>
          <t>v1.1</t>
        </is>
      </c>
    </row>
    <row r="20" ht="17.15" customHeight="1" s="25">
      <c r="A20" s="38" t="inlineStr">
        <is>
          <t>AI 생성 TC 수</t>
        </is>
      </c>
      <c r="B20" s="39">
        <f>B6+B7</f>
        <v/>
      </c>
      <c r="C20" s="39">
        <f>B13+B14</f>
        <v/>
      </c>
    </row>
    <row r="21" ht="17.15" customHeight="1" s="25">
      <c r="A21" s="38" t="inlineStr">
        <is>
          <t>그중 QA가 수정한 TC</t>
        </is>
      </c>
      <c r="B21" s="39">
        <f>B7</f>
        <v/>
      </c>
      <c r="C21" s="39">
        <f>B14</f>
        <v/>
      </c>
    </row>
    <row r="22" ht="17.15" customHeight="1" s="25">
      <c r="A22" s="38" t="inlineStr">
        <is>
          <t>QA가 추가한 TC</t>
        </is>
      </c>
      <c r="B22" s="39">
        <f>B8</f>
        <v/>
      </c>
      <c r="C22" s="39">
        <f>B15</f>
        <v/>
      </c>
    </row>
    <row r="23" ht="17.15" customHeight="1" s="25">
      <c r="A23" s="38" t="inlineStr">
        <is>
          <t>Fail 발생 TC 중 AI 원본 그대로인 TC</t>
        </is>
      </c>
      <c r="B23" s="39">
        <f>COUNTIFS(테스트케이스!$B$2:$B$39,"AI",테스트케이스!$J$2:$J$39,"Fail")</f>
        <v/>
      </c>
      <c r="C23" s="39">
        <f>COUNTIFS(테스트케이스!$B$40:$B$81,"AI",테스트케이스!$J$40:$J$81,"Fail")</f>
        <v/>
      </c>
    </row>
    <row r="24" ht="17.15" customHeight="1" s="25">
      <c r="A24" s="38" t="inlineStr">
        <is>
          <t>Fail 발생 TC 중 AI수정·QA추가 TC</t>
        </is>
      </c>
      <c r="B24" s="39">
        <f>COUNTIFS(테스트케이스!$B$2:$B$39,"AI수정",테스트케이스!$J$2:$J$39,"Fail")+COUNTIFS(테스트케이스!$B$2:$B$39,"QA추가",테스트케이스!$J$2:$J$39,"Fail")</f>
        <v/>
      </c>
      <c r="C24" s="39">
        <f>COUNTIFS(테스트케이스!$B$40:$B$81,"AI수정",테스트케이스!$J$40:$J$81,"Fail")+COUNTIFS(테스트케이스!$B$40:$B$81,"QA추가",테스트케이스!$J$40:$J$81,"Fail")</f>
        <v/>
      </c>
    </row>
    <row r="25" s="25"/>
    <row r="26" ht="15" customHeight="1" s="25">
      <c r="A26" s="35" t="inlineStr">
        <is>
          <t>리뷰 결론</t>
        </is>
      </c>
    </row>
    <row r="27" ht="15" customHeight="1" s="25">
      <c r="A27" s="49" t="inlineStr">
        <is>
          <t>v1.0</t>
        </is>
      </c>
    </row>
    <row r="28" ht="31.5" customHeight="1" s="25">
      <c r="A28" s="41" t="inlineStr">
        <is>
          <t>1. AI는 README(명세)를 그대로 따라가 API·개발자 관점 TC로 쏠림 (UI 7건 / API 23건). 사용자 시나리오는 사람이 보완해야 함</t>
        </is>
      </c>
    </row>
    <row r="29" ht="31.5" customHeight="1" s="25">
      <c r="A29" s="41" t="inlineStr">
        <is>
          <t>2. 내부 표기(D+30, 객실 2, R1, data-testid)가 많아 실무자가 바로 실행하기 어려움. 리뷰 과정에서 실제로 해석 혼동 발생</t>
        </is>
      </c>
    </row>
    <row r="30" ht="31.5" customHeight="1" s="25">
      <c r="A30" s="41" t="inlineStr">
        <is>
          <t>3. 기간 겹침 4가지 유형 중 1가지만 생성 → 누락된 '앞쪽 겹침'에서 중복 예약 결함(#2) 발견</t>
        </is>
      </c>
    </row>
    <row r="31" ht="63" customHeight="1" s="25">
      <c r="A3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32" ht="31.5" customHeight="1" s="25">
      <c r="A32" s="41" t="inlineStr">
        <is>
          <t>5. 명세 기반 경계값(체크인 당일, 30박, 0박)과 모호한 명세 표시(TC-02 가정)는 AI가 잘 생성함</t>
        </is>
      </c>
    </row>
    <row r="33" ht="47.25" customHeight="1" s="25">
      <c r="A3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  <row r="34" ht="15" customHeight="1" s="25">
      <c r="A34" s="49" t="inlineStr">
        <is>
          <t>v1.1</t>
        </is>
      </c>
    </row>
    <row r="35" ht="31.5" customHeight="1" s="25">
      <c r="A35" s="41" t="inlineStr">
        <is>
          <t>1. 처음 만든 AI TC 23건은 수정 1건, 전부 Pass. 새로 나온 문제(#7·#8·#9·#10, 머지 후 #12)는 전부 QA가 추가한 TC에서 나옴(명세 밖 상황)</t>
        </is>
      </c>
    </row>
    <row r="36" ht="47.25" customHeight="1" s="25">
      <c r="A36" s="41" t="inlineStr">
        <is>
          <t>2. 보강 TC에서도 결함은 QA가 추가한 관점에서 나옴(TC-73 → #14). AI 초안(Abcd1234!, "Abcd 1234")은 Pass, QA가 추가한 앞 공백 케이스(" Abcd1234")에서 #14 발견</t>
        </is>
      </c>
    </row>
    <row r="37" s="25"/>
    <row r="38" s="25"/>
    <row r="39" s="25"/>
    <row r="40" s="25"/>
    <row r="41" s="25"/>
    <row r="42" s="25"/>
    <row r="43" s="25"/>
    <row r="44" s="25"/>
    <row r="45" s="25"/>
    <row r="46" s="25"/>
    <row r="47" s="25"/>
    <row r="48" s="25"/>
    <row r="49" s="25"/>
    <row r="50" s="25"/>
    <row r="51" s="25"/>
    <row r="52" s="25"/>
    <row r="53" s="25"/>
    <row r="54" s="25"/>
    <row r="55" s="25"/>
    <row r="56" s="25"/>
    <row r="57" s="25"/>
    <row r="58" s="25"/>
    <row r="59" s="25"/>
    <row r="60" s="25"/>
  </sheetData>
  <mergeCells count="8">
    <mergeCell ref="A33:F33"/>
    <mergeCell ref="A28:F28"/>
    <mergeCell ref="A36:F36"/>
    <mergeCell ref="A32:F32"/>
    <mergeCell ref="A31:F31"/>
    <mergeCell ref="A35:F35"/>
    <mergeCell ref="A30:F30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  <row r="15">
      <c r="A15" s="42" t="inlineStr">
        <is>
          <t>#15</t>
        </is>
      </c>
      <c r="B15" s="43" t="inlineStr">
        <is>
          <t>[인증] 소셜로 가입한 계정으로 이메일 로그인하면 일반 실패 문구만 나와 로그인 방법을 알기 어려움</t>
        </is>
      </c>
      <c r="C15" s="42" t="inlineStr">
        <is>
          <t>enhancement</t>
        </is>
      </c>
      <c r="D15" s="42" t="inlineStr">
        <is>
          <t>-</t>
        </is>
      </c>
      <c r="E15" s="42" t="inlineStr">
        <is>
          <t>TC-77</t>
        </is>
      </c>
      <c r="F15" s="42" t="inlineStr">
        <is>
          <t>manual</t>
        </is>
      </c>
      <c r="G15" s="42" t="inlineStr">
        <is>
          <t>Open</t>
        </is>
      </c>
      <c r="H15" s="44" t="inlineStr">
        <is>
          <t>https://github.com/sophiachae/hotel-booking-qa/issues/15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2026-10-13T07:53:26Z</dcterms:modified>
  <cp:revision>0</cp:revision>
</cp:coreProperties>
</file>