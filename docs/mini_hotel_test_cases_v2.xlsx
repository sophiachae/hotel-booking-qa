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'테스트케이스'!$A$1:$O$39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Relationship Type="http://schemas.openxmlformats.org/officeDocument/2006/relationships/hyperlink" Target="https://github.com/sophiachae/hotel-booking-qa/issues/6" TargetMode="External" Id="rId6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inlineStr">
        <is>
          <t>서울 호텔 2개 노출. 서울 그랜드 호텔 1박 최저 120,000원·예약 가능 객실 3개 / 한강 리버뷰 호텔 95,000원·2개</t>
        </is>
      </c>
      <c r="J2" s="29" t="inlineStr">
        <is>
          <t>Pass</t>
        </is>
      </c>
      <c r="K2" s="28" t="inlineStr">
        <is>
          <t>2026-10-10</t>
        </is>
      </c>
      <c r="L2" s="28" t="n"/>
      <c r="M2" s="31" t="inlineStr">
        <is>
          <t>'D+30' 표기가 '최대 30박'으로 오해될 수 있음(리뷰 중 실제로 혼동). 실행자가 바로 이해할 수 있게 실제 날짜 또는 '오늘+n일'로 표기 권장
Playwright UI 자동화: tests/ui/search.spec.ts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VALIDATION_ERROR. logs/app.log에 [ERROR] GET /api/hotels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inlineStr">
        <is>
          <t>호텔명·주소·별점(★ 4.6)·설명·숙박 요약(2박·2명) 노출. 객실 3개 1박 요금·기간 총액(240,000 / 320,000 / 560,000원)·최대 인원·예약 가능 표시</t>
        </is>
      </c>
      <c r="J12" s="29" t="inlineStr">
        <is>
          <t>Pass</t>
        </is>
      </c>
      <c r="K12" s="28" t="inlineStr">
        <is>
          <t>2026-10-10</t>
        </is>
      </c>
      <c r="L12" s="28" t="n"/>
      <c r="M12" s="31" t="inlineStr">
        <is>
          <t>AI 원문은 data-testid 값만 나열 → 사용자가 실제로 보는 화면 요소 기준으로 검증 항목 보강
Playwright UI 자동화: tests/ui/hotel-detail.spec.ts</t>
        </is>
      </c>
      <c r="N12" s="28" t="inlineStr">
        <is>
          <t>High</t>
        </is>
      </c>
      <c r="O12" s="32" t="n"/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
→ 서버 차단 확인 (10/10): URL 직접 진입으로 제출해도 409 ROOM_UNAVAILABLE, 예약 생성 안 됨. 4가지 겹침 유형 비교에 사용 (TC-37 메모 참고)
Playwright UI 자동화: tests/ui/overlap.spec.ts</t>
        </is>
      </c>
      <c r="N18" s="28" t="inlineStr">
        <is>
          <t>High</t>
        </is>
      </c>
      <c r="O18" s="32" t="inlineStr">
        <is>
          <t>POST 객실 1, D+31~D+33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inlineStr">
        <is>
          <t>이름·이메일·전화번호 오류 메시지 3개 동시 표시. book.html에 머무름, 예약 생성 요청(POST /api/reservations) 미발생</t>
        </is>
      </c>
      <c r="J25" s="29" t="inlineStr">
        <is>
          <t>Pass</t>
        </is>
      </c>
      <c r="K25" s="28" t="inlineStr">
        <is>
          <t>2026-10-10</t>
        </is>
      </c>
      <c r="L25" s="28" t="n"/>
      <c r="M25" s="30" t="inlineStr">
        <is>
          <t>전화번호 단독 오류는 확인(10/7, '예: 010-1234-5678' 형식 안내 포함). 3개 필드 동시 오류는 미실행 → 3개 필드 동시 오류 확인 (10/10). DB 대신 예약 생성 요청이 서버로 나가지 않는 것으로 확인
Playwright UI 자동화: tests/ui/booking.spec.ts</t>
        </is>
      </c>
      <c r="N25" s="28" t="inlineStr">
        <is>
          <t>High</t>
        </is>
      </c>
      <c r="O25" s="32" t="n"/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sophia@sophia.com)</t>
        </is>
      </c>
      <c r="G26" s="31" t="inlineStr">
        <is>
          <t>1. 내 예약 조회
2. 예약번호 RSV-199A1DB7 + 이메일 SOPHIA@sophia.com(대문자)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
Playwright UI 자동화로 재확인 (10/10, test.fail): tests/ui/overlap.spec.ts</t>
        </is>
      </c>
      <c r="N33" s="28" t="inlineStr">
        <is>
          <t>High</t>
        </is>
      </c>
      <c r="O33" s="32" t="n"/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'Hyesoo chae', 전화번호 07349312262(영국)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</t>
        </is>
      </c>
      <c r="N34" s="28" t="inlineStr">
        <is>
          <t>Mid</t>
        </is>
      </c>
      <c r="O34" s="32" t="n"/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inlineStr">
        <is>
          <t>더블 클릭 시 POST /api/reservations 1건, 201 (RSV-41FB08EE). 추가 예약 없음</t>
        </is>
      </c>
      <c r="J36" s="29" t="inlineStr">
        <is>
          <t>Pass</t>
        </is>
      </c>
      <c r="K36" s="28" t="inlineStr">
        <is>
          <t>2026-10-10</t>
        </is>
      </c>
      <c r="L36" s="28" t="n"/>
      <c r="M36" s="30" t="inlineStr">
        <is>
          <t>실무 빈출 결함 유형. AI 미생성
수동 실행 (10/10)</t>
        </is>
      </c>
      <c r="N36" s="28" t="inlineStr">
        <is>
          <t>High</t>
        </is>
      </c>
      <c r="O36" s="32" t="n"/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inlineStr">
        <is>
          <t>뒤로 가기·새로고침 후 재제출 2회 모두 409 ROOM_UNAVAILABLE, 추가 예약 없음 (RSV-41FB08EE 1건 유지)</t>
        </is>
      </c>
      <c r="J37" s="29" t="inlineStr">
        <is>
          <t>Pass</t>
        </is>
      </c>
      <c r="K37" s="28" t="inlineStr">
        <is>
          <t>2026-10-10</t>
        </is>
      </c>
      <c r="L37" s="28" t="inlineStr">
        <is>
          <t>#6</t>
        </is>
      </c>
      <c r="M37" s="31" t="inlineStr">
        <is>
          <t>AI 미생성
수동 실행 (10/10). 서버 중복 방지는 정상이나 화면 문제 관찰 → 개선 제안 #6
① 예약 완료 후 뒤로 가기 시 버튼이 '예약 처리 중...'에 멈춰 있음
② 새로고침 시 입력 폼이 다시 활성화되고, 제출하면 '이미 예약된 객실입니다' 에러 표시 → 방금 예약한 사용자가 예약 실패로 오해할 수 있음</t>
        </is>
      </c>
      <c r="N37" s="28" t="inlineStr">
        <is>
          <t>Mid</t>
        </is>
      </c>
      <c r="O37" s="32" t="n"/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inlineStr">
        <is>
          <t>201 성공, 예약 생성됨 → 기존 예약 기간 전체가 이중 예약 (기대 409) → 결함 #2와 같은 패턴 (test.fail로 표시)</t>
        </is>
      </c>
      <c r="J38" s="29" t="inlineStr">
        <is>
          <t>Fail</t>
        </is>
      </c>
      <c r="K38" s="28" t="inlineStr">
        <is>
          <t>2026-10-10</t>
        </is>
      </c>
      <c r="L38" s="28" t="inlineStr">
        <is>
          <t>#2</t>
        </is>
      </c>
      <c r="M38" s="30" t="inlineStr">
        <is>
          <t>4가지 겹침 유형(TC-17 뒤쪽 / 32 앞쪽 / 37 감싸기 / 38 포함)을 비교해 공통 원인 패턴을 찾음: 체크인이 기존 예약보다 앞이면 허용(32·37), 기존 예약 안이면 차단(17·38) → 결함 #2로 통합, 이슈 제목 변경
기간 겹침 유형 보완 (TC-17 리뷰 결과)
Playwright UI 자동화: tests/ui/overlap.spec.ts (기존 예약은 API로 생성, 날짜는 오늘+n일로 계산)</t>
        </is>
      </c>
      <c r="N38" s="28" t="inlineStr">
        <is>
          <t>High</t>
        </is>
      </c>
      <c r="O38" s="32" t="n"/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inlineStr">
        <is>
          <t>409 ROOM_UNAVAILABLE, "선택한 날짜에 이미 예약된 객실입니다." 표시, 예약 생성 안 됨</t>
        </is>
      </c>
      <c r="J39" s="29" t="inlineStr">
        <is>
          <t>Pass</t>
        </is>
      </c>
      <c r="K39" s="28" t="inlineStr">
        <is>
          <t>2026-10-10</t>
        </is>
      </c>
      <c r="L39" s="28" t="n"/>
      <c r="M39" s="30" t="inlineStr">
        <is>
          <t>기간 겹침 유형 보완 (TC-17 리뷰 결과)
Playwright UI 자동화: tests/ui/overlap.spec.ts (기존 예약은 API로 생성, 날짜는 오늘+n일로 계산)</t>
        </is>
      </c>
      <c r="N39" s="28" t="inlineStr">
        <is>
          <t>High</t>
        </is>
      </c>
      <c r="O39" s="32" t="n"/>
    </row>
  </sheetData>
  <autoFilter ref="A1:O39"/>
  <conditionalFormatting sqref="A2:O39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39">
    <cfRule type="expression" rank="0" priority="5" equalAverage="0" aboveAverage="0" dxfId="10" text="" percent="0" bottom="0">
      <formula>$B2="QA추가"</formula>
    </cfRule>
  </conditionalFormatting>
  <dataValidations count="2">
    <dataValidation sqref="B2:B39" showDropDown="0" showInputMessage="0" showErrorMessage="0" allowBlank="0" type="list" errorStyle="stop" operator="between">
      <formula1>"AI,AI수정,QA추가"</formula1>
      <formula2>0</formula2>
    </dataValidation>
    <dataValidation sqref="J2:J39" showDropDown="0" showInputMessage="0" showErrorMessage="0" allowBlank="0" type="list" errorStyle="stop" operator="between">
      <formula1>"Pass,Fail,확인필요,미실행"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</t>
        </is>
      </c>
    </row>
    <row r="3" ht="15" customHeight="1" s="25">
      <c r="A3" s="35" t="inlineStr">
        <is>
          <t>출처별</t>
        </is>
      </c>
    </row>
    <row r="4" ht="17.15" customHeight="1" s="25">
      <c r="A4" s="27" t="inlineStr">
        <is>
          <t>출처</t>
        </is>
      </c>
      <c r="B4" s="27" t="inlineStr">
        <is>
          <t>건수</t>
        </is>
      </c>
      <c r="C4" s="26" t="inlineStr">
        <is>
          <t>Pass</t>
        </is>
      </c>
      <c r="D4" s="26" t="inlineStr">
        <is>
          <t>Fail</t>
        </is>
      </c>
      <c r="E4" s="27" t="inlineStr">
        <is>
          <t>확인필요</t>
        </is>
      </c>
      <c r="F4" s="27" t="inlineStr">
        <is>
          <t>미실행</t>
        </is>
      </c>
    </row>
    <row r="5" ht="15" customHeight="1" s="25">
      <c r="A5" s="36" t="inlineStr">
        <is>
          <t>AI</t>
        </is>
      </c>
      <c r="B5" s="36">
        <f>COUNTIF(테스트케이스!$B$2:$B$39,A5)</f>
        <v/>
      </c>
      <c r="C5" s="36">
        <f>COUNTIFS(테스트케이스!$B$2:$B$39,A5,테스트케이스!$J$2:$J$39,"Pass")</f>
        <v/>
      </c>
      <c r="D5" s="36">
        <f>COUNTIFS(테스트케이스!$B$2:$B$39,A5,테스트케이스!$J$2:$J$39,"Fail")</f>
        <v/>
      </c>
      <c r="E5" s="36">
        <f>COUNTIFS(테스트케이스!$B$2:$B$39,A5,테스트케이스!$J$2:$J$39,"확인필요")</f>
        <v/>
      </c>
      <c r="F5" s="36">
        <f>COUNTIFS(테스트케이스!$B$2:$B$39,A5,테스트케이스!$J$2:$J$39,"미실행")</f>
        <v/>
      </c>
    </row>
    <row r="6" ht="17.15" customHeight="1" s="25">
      <c r="A6" s="36" t="inlineStr">
        <is>
          <t>AI수정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QA추가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5" customHeight="1" s="25">
      <c r="A8" s="37" t="inlineStr">
        <is>
          <t>합계</t>
        </is>
      </c>
      <c r="B8" s="37">
        <f>SUM(B5:B7)</f>
        <v/>
      </c>
      <c r="C8" s="37">
        <f>SUM(C5:C7)</f>
        <v/>
      </c>
      <c r="D8" s="37">
        <f>SUM(D5:D7)</f>
        <v/>
      </c>
      <c r="E8" s="37">
        <f>SUM(E5:E7)</f>
        <v/>
      </c>
      <c r="F8" s="37">
        <f>SUM(F5:F7)</f>
        <v/>
      </c>
    </row>
    <row r="10" ht="15" customHeight="1" s="25">
      <c r="A10" s="35" t="inlineStr">
        <is>
          <t>핵심 지표</t>
        </is>
      </c>
    </row>
    <row r="11" ht="17.15" customHeight="1" s="25">
      <c r="A11" s="38" t="inlineStr">
        <is>
          <t>AI 생성 TC 수</t>
        </is>
      </c>
      <c r="B11" s="39">
        <f>B5+B6</f>
        <v/>
      </c>
    </row>
    <row r="12" ht="17.15" customHeight="1" s="25">
      <c r="A12" s="40" t="inlineStr">
        <is>
          <t>그중 QA가 수정한 TC</t>
        </is>
      </c>
      <c r="B12" s="39">
        <f>B6</f>
        <v/>
      </c>
    </row>
    <row r="13" ht="17.15" customHeight="1" s="25">
      <c r="A13" s="38" t="inlineStr">
        <is>
          <t>QA가 추가한 TC</t>
        </is>
      </c>
      <c r="B13" s="39">
        <f>B7</f>
        <v/>
      </c>
    </row>
    <row r="14" ht="17.15" customHeight="1" s="25">
      <c r="A14" s="38" t="inlineStr">
        <is>
          <t>Fail 발생 TC 중 AI 원본 그대로인 TC</t>
        </is>
      </c>
      <c r="B14" s="39">
        <f>COUNTIFS(테스트케이스!$B$2:$B$39,"AI",테스트케이스!$J$2:$J$39,"Fail")</f>
        <v/>
      </c>
    </row>
    <row r="15" ht="17.15" customHeight="1" s="25">
      <c r="A15" s="38" t="inlineStr">
        <is>
          <t>Fail 발생 TC 중 AI수정·QA추가 TC</t>
        </is>
      </c>
      <c r="B15" s="39">
        <f>COUNTIFS(테스트케이스!$B$2:$B$39,"AI수정",테스트케이스!$J$2:$J$39,"Fail")+COUNTIFS(테스트케이스!$B$2:$B$39,"QA추가",테스트케이스!$J$2:$J$39,"Fail")</f>
        <v/>
      </c>
    </row>
    <row r="17" ht="15" customHeight="1" s="25">
      <c r="A17" s="35" t="inlineStr">
        <is>
          <t>리뷰 결론</t>
        </is>
      </c>
    </row>
    <row r="18" ht="31.5" customHeight="1" s="25">
      <c r="A18" s="41" t="inlineStr">
        <is>
          <t>1. AI는 README(명세)를 그대로 따라가 API·개발자 관점 TC로 쏠림 (UI 7건 / API 23건). 사용자 시나리오는 사람이 보완해야 함</t>
        </is>
      </c>
    </row>
    <row r="19" ht="31.5" customHeight="1" s="25">
      <c r="A19" s="41" t="inlineStr">
        <is>
          <t>2. 내부 표기(D+30, 객실 2, R1, data-testid)가 많아 실무자가 바로 실행하기 어려움. 리뷰 과정에서 실제로 해석 혼동 발생</t>
        </is>
      </c>
    </row>
    <row r="20" ht="31.5" customHeight="1" s="25">
      <c r="A20" s="41" t="inlineStr">
        <is>
          <t>3. 기간 겹침 4가지 유형 중 1가지만 생성 → 누락된 '앞쪽 겹침'에서 중복 예약 결함(#2) 발견</t>
        </is>
      </c>
    </row>
    <row r="21" ht="63" customHeight="1" s="25">
      <c r="A21" s="41" t="inlineStr">
        <is>
          <t>4. AI TC는 명세에 적힌 입력 규칙·경계값 결함은 잡았지만(TC-23 → #5), 화면 간 금액 일치·기간 겹침·로그 개인정보처럼 여러 기능에 걸친 결함은 QA가 추가한 TC에서만 나옴 (TC-31 → #1, TC-32 → #2, TC-34 → #3). 단, 금액 결함(#1)은 AI TC-15도 API 응답의 totalPrice로 잡았으나, 고객이 화면마다 다른 금액을 보게 된다는 영향은 화면 간 비교 TC(TC-31)에서만 드러남</t>
        </is>
      </c>
    </row>
    <row r="22" ht="31.5" customHeight="1" s="25">
      <c r="A22" s="41" t="inlineStr">
        <is>
          <t>5. 명세 기반 경계값(체크인 당일, 30박, 0박)과 모호한 명세 표시(TC-02 가정)는 AI가 잘 생성함</t>
        </is>
      </c>
    </row>
    <row r="23" ht="47.25" customHeight="1" s="25">
      <c r="A2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</sheetData>
  <mergeCells count="6">
    <mergeCell ref="A19:F19"/>
    <mergeCell ref="A23:F23"/>
    <mergeCell ref="A22:F22"/>
    <mergeCell ref="A18:F18"/>
    <mergeCell ref="A20:F20"/>
    <mergeCell ref="A21:F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체크인이 기존 예약보다 앞서면 겹치는 기간이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TC-32, TC-37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  <row r="7" ht="29.85" customHeight="1" s="25">
      <c r="A7" s="42" t="inlineStr">
        <is>
          <t>#6</t>
        </is>
      </c>
      <c r="B7" s="43" t="inlineStr">
        <is>
          <t>[예약] 예약 완료 후 뒤로 가기·새로고침 시 안내 없이 입력 화면이 남아 '이미 예약된 객실' 에러로 예약 실패처럼 보임</t>
        </is>
      </c>
      <c r="C7" s="42" t="inlineStr">
        <is>
          <t>enhancement</t>
        </is>
      </c>
      <c r="D7" s="42" t="inlineStr">
        <is>
          <t>-</t>
        </is>
      </c>
      <c r="E7" s="42" t="inlineStr">
        <is>
          <t>TC-36</t>
        </is>
      </c>
      <c r="F7" s="42" t="inlineStr">
        <is>
          <t>manual</t>
        </is>
      </c>
      <c r="G7" s="42" t="inlineStr">
        <is>
          <t>Open</t>
        </is>
      </c>
      <c r="H7" s="44" t="inlineStr">
        <is>
          <t>https://github.com/sophiachae/hotel-booking-qa/issues/6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  <hyperlink xmlns:r="http://schemas.openxmlformats.org/officeDocument/2006/relationships" ref="H7" r:id="rId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2026-10-10T06:36:22Z</dcterms:modified>
  <cp:revision>0</cp:revision>
</cp:coreProperties>
</file>