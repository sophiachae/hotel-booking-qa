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테스트케이스" sheetId="1" state="visible" r:id="rId1"/>
    <sheet name="AI 리뷰 요약" sheetId="2" state="visible" r:id="rId2"/>
    <sheet name="결함 목록" sheetId="3" state="visible" r:id="rId3"/>
    <sheet name="공통 표기" sheetId="4" state="visible" r:id="rId4"/>
  </sheets>
  <definedNames>
    <definedName name="_xlnm._FilterDatabase" localSheetId="0" hidden="1">'테스트케이스'!$A$1:$O$39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2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맑은 고딕"/>
      <charset val="1"/>
      <family val="0"/>
      <b val="1"/>
      <color rgb="FFFFFFFF"/>
      <sz val="11"/>
    </font>
    <font>
      <name val="Noto Sans CJK SC"/>
      <family val="2"/>
      <b val="1"/>
      <color rgb="FFFFFFFF"/>
      <sz val="11"/>
    </font>
    <font>
      <name val="맑은 고딕"/>
      <charset val="1"/>
      <family val="0"/>
      <sz val="10"/>
    </font>
    <font>
      <name val="Noto Sans CJK SC"/>
      <family val="2"/>
      <sz val="10"/>
    </font>
    <font>
      <name val="맑은 고딕"/>
      <charset val="1"/>
      <family val="0"/>
      <color rgb="FF888888"/>
      <sz val="9"/>
    </font>
    <font>
      <name val="Noto Sans CJK SC"/>
      <family val="2"/>
      <color rgb="FF888888"/>
      <sz val="9"/>
    </font>
    <font>
      <name val="맑은 고딕"/>
      <charset val="1"/>
      <family val="0"/>
      <b val="1"/>
      <color rgb="FF2F5D62"/>
      <sz val="14"/>
    </font>
    <font>
      <name val="Noto Sans CJK SC"/>
      <family val="2"/>
      <b val="1"/>
      <color rgb="FF2F5D62"/>
      <sz val="14"/>
    </font>
    <font>
      <name val="Noto Sans CJK SC"/>
      <family val="2"/>
      <b val="1"/>
      <sz val="11"/>
    </font>
    <font>
      <name val="맑은 고딕"/>
      <charset val="1"/>
      <family val="0"/>
      <sz val="11"/>
    </font>
    <font>
      <name val="Noto Sans CJK SC"/>
      <family val="2"/>
      <sz val="11"/>
    </font>
    <font>
      <name val="맑은 고딕"/>
      <charset val="1"/>
      <family val="0"/>
      <b val="1"/>
      <sz val="11"/>
    </font>
    <font>
      <name val="맑은 고딕"/>
      <charset val="1"/>
      <family val="0"/>
      <color rgb="FF000000"/>
      <sz val="10"/>
    </font>
    <font>
      <name val="Noto Sans CJK SC"/>
      <family val="2"/>
      <color rgb="FF000000"/>
      <sz val="10"/>
    </font>
    <font>
      <name val="맑은 고딕"/>
      <charset val="1"/>
      <family val="0"/>
      <color rgb="FF0563C1"/>
      <sz val="10"/>
      <u val="single"/>
    </font>
    <font>
      <name val="Noto Sans CJK SC"/>
      <family val="2"/>
      <b val="1"/>
      <sz val="10"/>
    </font>
    <font>
      <name val="맑은 고딕"/>
      <charset val="1"/>
      <family val="0"/>
      <b val="1"/>
      <sz val="10"/>
    </font>
  </fonts>
  <fills count="3">
    <fill>
      <patternFill/>
    </fill>
    <fill>
      <patternFill patternType="gray125"/>
    </fill>
    <fill>
      <patternFill patternType="solid">
        <fgColor rgb="FF2F5D62"/>
        <bgColor rgb="FF666699"/>
      </patternFill>
    </fill>
  </fills>
  <borders count="2">
    <border>
      <left/>
      <right/>
      <top/>
      <bottom/>
      <diagonal/>
    </border>
    <border>
      <left style="thin">
        <color rgb="FFC9D1D3"/>
      </left>
      <right style="thin">
        <color rgb="FFC9D1D3"/>
      </right>
      <top style="thin">
        <color rgb="FFC9D1D3"/>
      </top>
      <bottom style="thin">
        <color rgb="FFC9D1D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left" vertical="top" wrapText="1"/>
    </xf>
    <xf numFmtId="0" fontId="6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3" fillId="0" borderId="1" applyAlignment="1" pivotButton="0" quotePrefix="0" xfId="0">
      <alignment horizontal="center" vertical="bottom"/>
    </xf>
    <xf numFmtId="0" fontId="12" fillId="0" borderId="1" applyAlignment="1" pivotButton="0" quotePrefix="0" xfId="0">
      <alignment horizontal="center" vertical="bottom"/>
    </xf>
    <xf numFmtId="0" fontId="13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9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20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fgColor rgb="FF2F5D62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FBE3E4"/>
          <bgColor rgb="FF000000"/>
        </patternFill>
      </fill>
    </dxf>
    <dxf>
      <fill>
        <patternFill patternType="solid">
          <fgColor rgb="FFFFF4D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888888"/>
          <bgColor rgb="FF000000"/>
        </patternFill>
      </fill>
    </dxf>
    <dxf>
      <fill>
        <patternFill>
          <bgColor rgb="FFFBE3E4"/>
        </patternFill>
      </fill>
    </dxf>
    <dxf>
      <fill>
        <patternFill>
          <bgColor rgb="FFE6F4EA"/>
        </patternFill>
      </fill>
    </dxf>
    <dxf>
      <fill>
        <patternFill>
          <bgColor rgb="FFFFF4D6"/>
        </patternFill>
      </fill>
    </dxf>
    <dxf>
      <font>
        <name val="맑은 고딕"/>
        <charset val="1"/>
        <family val="0"/>
        <b val="1"/>
        <color rgb="FF2F5D62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88888"/>
      <rgbColor rgb="FF9999FF"/>
      <rgbColor rgb="FF993366"/>
      <rgbColor rgb="FFFFF4D6"/>
      <rgbColor rgb="FFE6F4EA"/>
      <rgbColor rgb="FF660066"/>
      <rgbColor rgb="FFFF8080"/>
      <rgbColor rgb="FF0563C1"/>
      <rgbColor rgb="FFC9D1D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E4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6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github.com/sophiachae/hotel-booking-qa/issues/1" TargetMode="External" Id="rId1" /><Relationship Type="http://schemas.openxmlformats.org/officeDocument/2006/relationships/hyperlink" Target="https://github.com/sophiachae/hotel-booking-qa/issues/2" TargetMode="External" Id="rId2" /><Relationship Type="http://schemas.openxmlformats.org/officeDocument/2006/relationships/hyperlink" Target="https://github.com/sophiachae/hotel-booking-qa/issues/3" TargetMode="External" Id="rId3" /><Relationship Type="http://schemas.openxmlformats.org/officeDocument/2006/relationships/hyperlink" Target="https://github.com/sophiachae/hotel-booking-qa/issues/4" TargetMode="External" Id="rId4" /><Relationship Type="http://schemas.openxmlformats.org/officeDocument/2006/relationships/hyperlink" Target="https://github.com/sophiachae/hotel-booking-qa/issues/5" TargetMode="External" Id="rId5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9" customWidth="1" style="24" min="2" max="2"/>
    <col width="7" customWidth="1" style="24" min="3" max="3"/>
    <col width="9" customWidth="1" style="24" min="4" max="4"/>
    <col width="22" customWidth="1" style="24" min="5" max="5"/>
    <col width="26" customWidth="1" style="24" min="6" max="6"/>
    <col width="40" customWidth="1" style="24" min="7" max="7"/>
    <col width="34" customWidth="1" style="24" min="8" max="8"/>
    <col width="32" customWidth="1" style="24" min="9" max="9"/>
    <col width="10" customWidth="1" style="24" min="10" max="10"/>
    <col width="11" customWidth="1" style="24" min="11" max="11"/>
    <col width="8" customWidth="1" style="24" min="12" max="12"/>
    <col width="40" customWidth="1" style="24" min="13" max="13"/>
    <col width="8" customWidth="1" style="24" min="14" max="14"/>
    <col width="30" customWidth="1" style="24" min="15" max="15"/>
  </cols>
  <sheetData>
    <row r="1" ht="32.8" customHeight="1" s="25">
      <c r="A1" s="26" t="inlineStr">
        <is>
          <t>ID</t>
        </is>
      </c>
      <c r="B1" s="27" t="inlineStr">
        <is>
          <t>출처</t>
        </is>
      </c>
      <c r="C1" s="27" t="inlineStr">
        <is>
          <t>영역</t>
        </is>
      </c>
      <c r="D1" s="27" t="inlineStr">
        <is>
          <t>유형</t>
        </is>
      </c>
      <c r="E1" s="27" t="inlineStr">
        <is>
          <t>시나리오</t>
        </is>
      </c>
      <c r="F1" s="27" t="inlineStr">
        <is>
          <t>사전조건(정책)</t>
        </is>
      </c>
      <c r="G1" s="27" t="inlineStr">
        <is>
          <t>테스트 절차</t>
        </is>
      </c>
      <c r="H1" s="27" t="inlineStr">
        <is>
          <t>기대결과</t>
        </is>
      </c>
      <c r="I1" s="27" t="inlineStr">
        <is>
          <t>실제 결과</t>
        </is>
      </c>
      <c r="J1" s="27" t="inlineStr">
        <is>
          <t>실행결과</t>
        </is>
      </c>
      <c r="K1" s="27" t="inlineStr">
        <is>
          <t>실행일</t>
        </is>
      </c>
      <c r="L1" s="27" t="inlineStr">
        <is>
          <t>결함 ID</t>
        </is>
      </c>
      <c r="M1" s="27" t="inlineStr">
        <is>
          <t>리뷰 메모</t>
        </is>
      </c>
      <c r="N1" s="27" t="inlineStr">
        <is>
          <t>우선순위</t>
        </is>
      </c>
      <c r="O1" s="26" t="inlineStr">
        <is>
          <t>AI 원문 절차(수정 전)</t>
        </is>
      </c>
    </row>
    <row r="2" ht="73.09999999999999" customHeight="1" s="25">
      <c r="A2" s="28" t="inlineStr">
        <is>
          <t>TC-01</t>
        </is>
      </c>
      <c r="B2" s="28" t="inlineStr">
        <is>
          <t>AI수정</t>
        </is>
      </c>
      <c r="C2" s="28" t="inlineStr">
        <is>
          <t>UI</t>
        </is>
      </c>
      <c r="D2" s="29" t="inlineStr">
        <is>
          <t>정상</t>
        </is>
      </c>
      <c r="E2" s="30" t="inlineStr">
        <is>
          <t>서울 호텔 검색</t>
        </is>
      </c>
      <c r="F2" s="30" t="inlineStr">
        <is>
          <t>초기화</t>
        </is>
      </c>
      <c r="G2" s="31" t="inlineStr">
        <is>
          <t>1. 홈 접속
2. 도시: 서울 선택
3. 체크인 = 오늘+30일, 체크아웃 = 오늘+32일 (2박)
4. 인원 2명
5. 호텔 검색 클릭</t>
        </is>
      </c>
      <c r="H2" s="30" t="inlineStr">
        <is>
          <t>검색 결과에 서울 호텔 2개 노출
- 서울 그랜드 호텔: 1박 최저 120,000원, 예약 가능 객실 3개
- 두 번째 호텔: 1박 최저 95,000원, 예약 가능 객실 2개</t>
        </is>
      </c>
      <c r="I2" s="31" t="n"/>
      <c r="J2" s="29" t="inlineStr">
        <is>
          <t>미실행</t>
        </is>
      </c>
      <c r="K2" s="28" t="n"/>
      <c r="L2" s="28" t="n"/>
      <c r="M2" s="31" t="inlineStr">
        <is>
          <t>'D+30' 표기가 '최대 30박'으로 오해될 수 있음(리뷰 중 실제로 혼동). 실행자가 바로 이해할 수 있게 실제 날짜 또는 '오늘+n일'로 표기 권장</t>
        </is>
      </c>
      <c r="N2" s="28" t="inlineStr">
        <is>
          <t>High</t>
        </is>
      </c>
      <c r="O2" s="32" t="inlineStr">
        <is>
          <t>① index.html 접속
② search-city=서울, checkin D+30, checkout D+32, guests 2
③ search-submit 클릭</t>
        </is>
      </c>
    </row>
    <row r="3" ht="41.75" customHeight="1" s="25">
      <c r="A3" s="28" t="inlineStr">
        <is>
          <t>TC-02</t>
        </is>
      </c>
      <c r="B3" s="28" t="inlineStr">
        <is>
          <t>AI</t>
        </is>
      </c>
      <c r="C3" s="28" t="inlineStr">
        <is>
          <t>API</t>
        </is>
      </c>
      <c r="D3" s="29" t="inlineStr">
        <is>
          <t>정상</t>
        </is>
      </c>
      <c r="E3" s="30" t="inlineStr">
        <is>
          <t>인원 조건 필터링</t>
        </is>
      </c>
      <c r="F3" s="30" t="inlineStr">
        <is>
          <t>초기화</t>
        </is>
      </c>
      <c r="G3" s="31" t="inlineStr">
        <is>
          <t>GET /api/hotels?city=부산&amp;checkIn=D+30&amp;checkOut=D+32&amp;guests=5</t>
        </is>
      </c>
      <c r="H3" s="31" t="inlineStr">
        <is>
          <t>200, 배열 길이 1, id=3, availableRooms=1, minPrice=450000. 호텔 4(최대 3인)는 미포함</t>
        </is>
      </c>
      <c r="I3" s="31" t="inlineStr">
        <is>
          <t>200, 호텔 3만 반환 (availableRooms=1, minPrice=450000)</t>
        </is>
      </c>
      <c r="J3" s="29" t="inlineStr">
        <is>
          <t>Pass</t>
        </is>
      </c>
      <c r="K3" s="28" t="inlineStr">
        <is>
          <t>2026-10-10</t>
        </is>
      </c>
      <c r="L3" s="28" t="n"/>
      <c r="M3" s="31" t="inlineStr">
        <is>
          <t>Playwright API 자동화: tests/api/hotels.spec.ts</t>
        </is>
      </c>
      <c r="N3" s="28" t="inlineStr">
        <is>
          <t>High</t>
        </is>
      </c>
      <c r="O3" s="32" t="n"/>
    </row>
    <row r="4" ht="44" customHeight="1" s="25">
      <c r="A4" s="28" t="inlineStr">
        <is>
          <t>TC-03</t>
        </is>
      </c>
      <c r="B4" s="28" t="inlineStr">
        <is>
          <t>AI</t>
        </is>
      </c>
      <c r="C4" s="28" t="inlineStr">
        <is>
          <t>API</t>
        </is>
      </c>
      <c r="D4" s="29" t="inlineStr">
        <is>
          <t>경계</t>
        </is>
      </c>
      <c r="E4" s="31" t="inlineStr">
        <is>
          <t>guests 최솟값/최댓값 허용</t>
        </is>
      </c>
      <c r="F4" s="30" t="inlineStr">
        <is>
          <t>초기화</t>
        </is>
      </c>
      <c r="G4" s="31" t="inlineStr">
        <is>
          <t>guests=1, guests=10으로 각각 GET /api/hotels (서울, D+30~D+32)</t>
        </is>
      </c>
      <c r="H4" s="31" t="inlineStr">
        <is>
          <t>guests=1: 200, 호텔 1·2 반환. guests=10: 200, [] (수용 가능한 객실 없음). 두 경우 모두 400 아님</t>
        </is>
      </c>
      <c r="I4" s="31" t="inlineStr">
        <is>
          <t>guests=1: 200, 호텔 1·2 반환 / guests=10: 200, []</t>
        </is>
      </c>
      <c r="J4" s="29" t="inlineStr">
        <is>
          <t>Pass</t>
        </is>
      </c>
      <c r="K4" s="28" t="inlineStr">
        <is>
          <t>2026-10-10</t>
        </is>
      </c>
      <c r="L4" s="28" t="n"/>
      <c r="M4" s="31" t="inlineStr">
        <is>
          <t>Playwright API 자동화: tests/api/hotels.spec.ts</t>
        </is>
      </c>
      <c r="N4" s="28" t="inlineStr">
        <is>
          <t>Mid</t>
        </is>
      </c>
      <c r="O4" s="32" t="n"/>
    </row>
    <row r="5" ht="41.75" customHeight="1" s="25">
      <c r="A5" s="28" t="inlineStr">
        <is>
          <t>TC-04</t>
        </is>
      </c>
      <c r="B5" s="28" t="inlineStr">
        <is>
          <t>AI수정</t>
        </is>
      </c>
      <c r="C5" s="28" t="inlineStr">
        <is>
          <t>API</t>
        </is>
      </c>
      <c r="D5" s="29" t="inlineStr">
        <is>
          <t>경계/예외</t>
        </is>
      </c>
      <c r="E5" s="31" t="inlineStr">
        <is>
          <t>guests 범위·형식 위반</t>
        </is>
      </c>
      <c r="F5" s="30" t="inlineStr">
        <is>
          <t>초기화</t>
        </is>
      </c>
      <c r="G5" s="31" t="inlineStr">
        <is>
          <t>guests=0, 11, 2.5, abc로 각각 GET /api/hotels</t>
        </is>
      </c>
      <c r="H5" s="31" t="inlineStr">
        <is>
          <t>4건 모두 400, error.code=VALIDATION_ERROR</t>
        </is>
      </c>
      <c r="I5" s="31" t="inlineStr">
        <is>
          <t>4건 모두 400, error.code=VALIDATION_ERROR</t>
        </is>
      </c>
      <c r="J5" s="29" t="inlineStr">
        <is>
          <t>Pass</t>
        </is>
      </c>
      <c r="K5" s="28" t="inlineStr">
        <is>
          <t>2026-10-10</t>
        </is>
      </c>
      <c r="L5" s="28" t="n"/>
      <c r="M5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</t>
        </is>
      </c>
      <c r="N5" s="28" t="inlineStr">
        <is>
          <t>High</t>
        </is>
      </c>
      <c r="O5" s="32" t="inlineStr">
        <is>
          <t>[기대결과 원문] 4건 모두 400, error.code=VALIDATION_ERROR, error.details에 guests 키 존재</t>
        </is>
      </c>
    </row>
    <row r="6" ht="47.75" customHeight="1" s="25">
      <c r="A6" s="28" t="inlineStr">
        <is>
          <t>TC-05</t>
        </is>
      </c>
      <c r="B6" s="28" t="inlineStr">
        <is>
          <t>AI수정</t>
        </is>
      </c>
      <c r="C6" s="28" t="inlineStr">
        <is>
          <t>UI</t>
        </is>
      </c>
      <c r="D6" s="29" t="inlineStr">
        <is>
          <t>경계</t>
        </is>
      </c>
      <c r="E6" s="30" t="inlineStr">
        <is>
          <t>체크인=오늘 허용, 어제 거부</t>
        </is>
      </c>
      <c r="F6" s="30" t="inlineStr">
        <is>
          <t>체크인은 오늘부터 가능 (정책)</t>
        </is>
      </c>
      <c r="G6" s="30" t="inlineStr">
        <is>
          <t>① 부산 / 체크인 오늘(10/8) ~ 체크아웃 10/9 / 2명 검색
② 부산 / 체크인 10/6(과거) ~ 10/10 / 2명 검색</t>
        </is>
      </c>
      <c r="H6" s="30" t="inlineStr">
        <is>
          <t>① 검색 결과 노출
② '체크인 날짜는 오늘 이후여야 합니다.' 에러 표시</t>
        </is>
      </c>
      <c r="I6" s="30" t="inlineStr">
        <is>
          <t>① 호텔 2개 노출 (로그 GET /api/hotels status=200)
② 에러 메시지 표시</t>
        </is>
      </c>
      <c r="J6" s="28" t="inlineStr">
        <is>
          <t>Pass</t>
        </is>
      </c>
      <c r="K6" s="28" t="inlineStr">
        <is>
          <t>2026-10-08</t>
        </is>
      </c>
      <c r="L6" s="28" t="n"/>
      <c r="M6" s="31" t="inlineStr">
        <is>
          <t>API로 분류됐으나 UI로 재현 가능. 에러 문구 '오늘 이후'는 오늘 포함 여부가 모호함(실제로는 오늘 허용) → 문구 개선 제안</t>
        </is>
      </c>
      <c r="N6" s="28" t="inlineStr">
        <is>
          <t>High</t>
        </is>
      </c>
      <c r="O6" s="32" t="inlineStr">
        <is>
          <t>① checkIn=D, checkOut=D+1
② checkIn=D-1, checkOut=D+1 (서울, 2명)</t>
        </is>
      </c>
    </row>
    <row r="7" ht="36.55" customHeight="1" s="25">
      <c r="A7" s="28" t="inlineStr">
        <is>
          <t>TC-06</t>
        </is>
      </c>
      <c r="B7" s="28" t="inlineStr">
        <is>
          <t>AI수정</t>
        </is>
      </c>
      <c r="C7" s="28" t="inlineStr">
        <is>
          <t>UI</t>
        </is>
      </c>
      <c r="D7" s="29" t="inlineStr">
        <is>
          <t>경계</t>
        </is>
      </c>
      <c r="E7" s="30" t="inlineStr">
        <is>
          <t>체크아웃=체크인(0박)</t>
        </is>
      </c>
      <c r="F7" s="30" t="inlineStr">
        <is>
          <t>체크아웃은 체크인 다음 날 이후 (정책)</t>
        </is>
      </c>
      <c r="G7" s="31" t="inlineStr">
        <is>
          <t>1. 서울 / 체크인 12/31 ~ 체크아웃 12/31 / 2명
2. 호텔 검색 클릭</t>
        </is>
      </c>
      <c r="H7" s="31" t="inlineStr">
        <is>
          <t>'체크아웃 날짜는 체크인 날짜보다 이후여야 합니다.' 에러 표시, 검색 진행 안 됨</t>
        </is>
      </c>
      <c r="I7" s="30" t="inlineStr">
        <is>
          <t>에러 메시지 표시. 서버 로그 없음(화면에서 차단)</t>
        </is>
      </c>
      <c r="J7" s="28" t="inlineStr">
        <is>
          <t>Pass</t>
        </is>
      </c>
      <c r="K7" s="28" t="inlineStr">
        <is>
          <t>2026-10-07</t>
        </is>
      </c>
      <c r="L7" s="28" t="n"/>
      <c r="M7" s="30" t="inlineStr">
        <is>
          <t>화면에서만 차단되고 서버까지 요청이 가지 않음 → 서버 측 검증은 API 단계에서 별도 확인 필요</t>
        </is>
      </c>
      <c r="N7" s="28" t="inlineStr">
        <is>
          <t>High</t>
        </is>
      </c>
      <c r="O7" s="32" t="inlineStr">
        <is>
          <t>GET /api/hotels?city=서울&amp;checkIn=D+30&amp;checkOut=D+30&amp;guests=2</t>
        </is>
      </c>
    </row>
    <row r="8" ht="49.25" customHeight="1" s="25">
      <c r="A8" s="28" t="inlineStr">
        <is>
          <t>TC-07</t>
        </is>
      </c>
      <c r="B8" s="28" t="inlineStr">
        <is>
          <t>AI수정</t>
        </is>
      </c>
      <c r="C8" s="28" t="inlineStr">
        <is>
          <t>UI</t>
        </is>
      </c>
      <c r="D8" s="29" t="inlineStr">
        <is>
          <t>경계</t>
        </is>
      </c>
      <c r="E8" s="30" t="inlineStr">
        <is>
          <t>최대 30박</t>
        </is>
      </c>
      <c r="F8" s="30" t="inlineStr">
        <is>
          <t>최대 30박까지 예약 가능 (정책)</t>
        </is>
      </c>
      <c r="G8" s="31" t="inlineStr">
        <is>
          <t>1. 서울 / 체크인 2026-12-31 ~ 체크아웃 2027-01-31 (31박) / 2명
2. 호텔 검색 클릭</t>
        </is>
      </c>
      <c r="H8" s="31" t="inlineStr">
        <is>
          <t>'최대 30박까지 예약할 수 있습니다.' 에러 표시</t>
        </is>
      </c>
      <c r="I8" s="30" t="inlineStr">
        <is>
          <t>검색 결과 화면에서 에러 표시. 로그 [ERROR] GET /api/hotels status=400 VALIDATION_ERROR</t>
        </is>
      </c>
      <c r="J8" s="28" t="inlineStr">
        <is>
          <t>Pass</t>
        </is>
      </c>
      <c r="K8" s="28" t="inlineStr">
        <is>
          <t>2026-10-07</t>
        </is>
      </c>
      <c r="L8" s="28" t="n"/>
      <c r="M8" s="31" t="inlineStr">
        <is>
          <t>31박 차단만 확인, 30박 허용 케이스는 미실행. 0박(TC-06)은 화면에서, 31박은 서버에서 차단되어 검증 위치가 일관되지 않음</t>
        </is>
      </c>
      <c r="N8" s="28" t="inlineStr">
        <is>
          <t>High</t>
        </is>
      </c>
      <c r="O8" s="32" t="inlineStr">
        <is>
          <t>① checkIn=D+10, checkOut=D+40(30박)
② checkOut=D+41(31박)</t>
        </is>
      </c>
    </row>
    <row r="9" ht="29.85" customHeight="1" s="25">
      <c r="A9" s="28" t="inlineStr">
        <is>
          <t>TC-08</t>
        </is>
      </c>
      <c r="B9" s="28" t="inlineStr">
        <is>
          <t>AI수정</t>
        </is>
      </c>
      <c r="C9" s="28" t="inlineStr">
        <is>
          <t>API</t>
        </is>
      </c>
      <c r="D9" s="29" t="inlineStr">
        <is>
          <t>예외</t>
        </is>
      </c>
      <c r="E9" s="30" t="inlineStr">
        <is>
          <t>날짜 형식 오류·존재하지 않는 날짜</t>
        </is>
      </c>
      <c r="F9" s="30" t="inlineStr">
        <is>
          <t>초기화</t>
        </is>
      </c>
      <c r="G9" s="31" t="inlineStr">
        <is>
          <t>checkIn을 2027/03/10, 2027-02-29(평년), 2027-13-01로 각각 요청</t>
        </is>
      </c>
      <c r="H9" s="31" t="inlineStr">
        <is>
          <t>3건 모두 400 VALIDATION_ERROR</t>
        </is>
      </c>
      <c r="I9" s="31" t="inlineStr">
        <is>
          <t>3건 모두 400, error.code=VALIDATION_ERROR</t>
        </is>
      </c>
      <c r="J9" s="29" t="inlineStr">
        <is>
          <t>Pass</t>
        </is>
      </c>
      <c r="K9" s="28" t="inlineStr">
        <is>
          <t>2026-10-10</t>
        </is>
      </c>
      <c r="L9" s="28" t="n"/>
      <c r="M9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날짜는 실행일 기준으로 계산 (평년 2/29는 다가오는 평년으로 생성)
Playwright API 자동화: tests/api/hotels.spec.ts</t>
        </is>
      </c>
      <c r="N9" s="28" t="inlineStr">
        <is>
          <t>Mid</t>
        </is>
      </c>
      <c r="O9" s="32" t="inlineStr">
        <is>
          <t>[기대결과 원문] 3건 모두 400 VALIDATION_ERROR, details에 checkIn 키 존재</t>
        </is>
      </c>
    </row>
    <row r="10" ht="44" customHeight="1" s="25">
      <c r="A10" s="28" t="inlineStr">
        <is>
          <t>TC-09</t>
        </is>
      </c>
      <c r="B10" s="28" t="inlineStr">
        <is>
          <t>AI수정</t>
        </is>
      </c>
      <c r="C10" s="28" t="inlineStr">
        <is>
          <t>API</t>
        </is>
      </c>
      <c r="D10" s="29" t="inlineStr">
        <is>
          <t>예외</t>
        </is>
      </c>
      <c r="E10" s="30" t="inlineStr">
        <is>
          <t>필수 파라미터 누락</t>
        </is>
      </c>
      <c r="F10" s="30" t="inlineStr">
        <is>
          <t>초기화</t>
        </is>
      </c>
      <c r="G10" s="31" t="inlineStr">
        <is>
          <t>city 없이 GET /api/hotels?checkIn=D+30&amp;checkOut=D+32&amp;guests=2</t>
        </is>
      </c>
      <c r="H10" s="31" t="inlineStr">
        <is>
          <t>400 VALIDATION_ERROR. logs/app.log에 [ERROR] GET /api/hotels ... status=400 1줄 기록</t>
        </is>
      </c>
      <c r="I10" s="31" t="inlineStr">
        <is>
          <t>400 VALIDATION_ERROR. app.log에 [ERROR] GET /api/hotels ... status=400 1줄 기록 확인</t>
        </is>
      </c>
      <c r="J10" s="29" t="inlineStr">
        <is>
          <t>Pass</t>
        </is>
      </c>
      <c r="K10" s="28" t="inlineStr">
        <is>
          <t>2026-10-10</t>
        </is>
      </c>
      <c r="L10" s="28" t="n"/>
      <c r="M10" s="31" t="inlineStr">
        <is>
          <t>AI가 명세에 없는 error.details 키를 기대결과로 넘겨짚음 → 조건 제외. README에는 details 포함 조건이 정의되어 있지 않음(필드 입력 오류 예시만 있음). 자동화 1차 실행(10/10)에서 details 조건으로 Fail 후 리뷰하여 TC 수정
Playwright API 자동화: tests/api/hotels.spec.ts</t>
        </is>
      </c>
      <c r="N10" s="28" t="inlineStr">
        <is>
          <t>Mid</t>
        </is>
      </c>
      <c r="O10" s="32" t="inlineStr">
        <is>
          <t>[기대결과 원문] 400 VALIDATION_ERROR, details에 city 키 존재. logs/app.log에 [ERROR] GET /api/hotels ... status=400 1줄 기록</t>
        </is>
      </c>
    </row>
    <row r="11" ht="29.85" customHeight="1" s="25">
      <c r="A11" s="28" t="inlineStr">
        <is>
          <t>TC-10</t>
        </is>
      </c>
      <c r="B11" s="28" t="inlineStr">
        <is>
          <t>AI</t>
        </is>
      </c>
      <c r="C11" s="28" t="inlineStr">
        <is>
          <t>API</t>
        </is>
      </c>
      <c r="D11" s="29" t="inlineStr">
        <is>
          <t>정상</t>
        </is>
      </c>
      <c r="E11" s="30" t="inlineStr">
        <is>
          <t>만실 호텔은 검색에서 제외</t>
        </is>
      </c>
      <c r="F11" s="30" t="inlineStr">
        <is>
          <t>초기화 후 객실 4, 5에 D+30~D+32 예약 생성</t>
        </is>
      </c>
      <c r="G11" s="31" t="inlineStr">
        <is>
          <t>GET /api/hotels?city=서울&amp;checkIn=D+30&amp;checkOut=D+32&amp;guests=2</t>
        </is>
      </c>
      <c r="H11" s="31" t="inlineStr">
        <is>
          <t>200, 배열 길이 1, id=1만 포함(호텔 2 제외), availableRooms=3</t>
        </is>
      </c>
      <c r="I11" s="31" t="inlineStr">
        <is>
          <t>200, 호텔 1만 반환 (availableRooms=3), 호텔 2 제외</t>
        </is>
      </c>
      <c r="J11" s="29" t="inlineStr">
        <is>
          <t>Pass</t>
        </is>
      </c>
      <c r="K11" s="28" t="inlineStr">
        <is>
          <t>2026-10-10</t>
        </is>
      </c>
      <c r="L11" s="28" t="n"/>
      <c r="M11" s="31" t="inlineStr">
        <is>
          <t>UI TC-01과 데이터가 겹치지 않도록 오늘+40~42일로 실행
Playwright API 자동화: tests/api/hotels.spec.ts</t>
        </is>
      </c>
      <c r="N11" s="28" t="inlineStr">
        <is>
          <t>High</t>
        </is>
      </c>
      <c r="O11" s="32" t="n"/>
    </row>
    <row r="12" ht="86.55" customHeight="1" s="25">
      <c r="A12" s="28" t="inlineStr">
        <is>
          <t>TC-11</t>
        </is>
      </c>
      <c r="B12" s="28" t="inlineStr">
        <is>
          <t>AI수정</t>
        </is>
      </c>
      <c r="C12" s="28" t="inlineStr">
        <is>
          <t>UI</t>
        </is>
      </c>
      <c r="D12" s="29" t="inlineStr">
        <is>
          <t>정상</t>
        </is>
      </c>
      <c r="E12" s="30" t="inlineStr">
        <is>
          <t>객실 목록과 기간 총액 표시</t>
        </is>
      </c>
      <c r="F12" s="30" t="inlineStr">
        <is>
          <t>초기화</t>
        </is>
      </c>
      <c r="G12" s="31" t="inlineStr">
        <is>
          <t>hotel.html?id=1&amp;checkIn=D+30&amp;checkOut=D+32&amp;guests=2 접속</t>
        </is>
      </c>
      <c r="H12" s="30" t="inlineStr">
        <is>
          <t>호텔 상세에 다음 항목 정상 노출: 호텔명, 주소, 별점, 설명, 숙박 요약(n박·n명·체크인~체크아웃), 객실별 1박 요금·기간 총액·최대 인원·예약 가능 여부
(서울 그랜드 호텔 2박 기준 객실 총액 240,000 / 320,000 / 560,000원)</t>
        </is>
      </c>
      <c r="I12" s="31" t="n"/>
      <c r="J12" s="29" t="inlineStr">
        <is>
          <t>미실행</t>
        </is>
      </c>
      <c r="K12" s="28" t="n"/>
      <c r="L12" s="28" t="n"/>
      <c r="M12" s="31" t="inlineStr">
        <is>
          <t>AI 원문은 data-testid 값만 나열 → 사용자가 실제로 보는 화면 요소 기준으로 검증 항목 보강</t>
        </is>
      </c>
      <c r="N12" s="28" t="inlineStr">
        <is>
          <t>High</t>
        </is>
      </c>
      <c r="O12" s="32" t="n"/>
    </row>
    <row r="13" ht="37.3" customHeight="1" s="25">
      <c r="A13" s="28" t="inlineStr">
        <is>
          <t>TC-12</t>
        </is>
      </c>
      <c r="B13" s="28" t="inlineStr">
        <is>
          <t>AI</t>
        </is>
      </c>
      <c r="C13" s="28" t="inlineStr">
        <is>
          <t>API</t>
        </is>
      </c>
      <c r="D13" s="29" t="inlineStr">
        <is>
          <t>예외</t>
        </is>
      </c>
      <c r="E13" s="30" t="inlineStr">
        <is>
          <t>객실 조회 시 잘못된 호텔 id</t>
        </is>
      </c>
      <c r="F13" s="30" t="inlineStr">
        <is>
          <t>초기화</t>
        </is>
      </c>
      <c r="G13" s="31" t="inlineStr">
        <is>
          <t>① GET /api/hotels/999/rooms
② GET /api/hotels/abc/rooms</t>
        </is>
      </c>
      <c r="H13" s="31" t="inlineStr">
        <is>
          <t>①: 404 NOT_FOUND. ②: 400 VALIDATION_ERROR</t>
        </is>
      </c>
      <c r="I13" s="31" t="inlineStr">
        <is>
          <t>①: 404 NOT_FOUND / ②: 400 VALIDATION_ERROR</t>
        </is>
      </c>
      <c r="J13" s="29" t="inlineStr">
        <is>
          <t>Pass</t>
        </is>
      </c>
      <c r="K13" s="28" t="inlineStr">
        <is>
          <t>2026-10-10</t>
        </is>
      </c>
      <c r="L13" s="28" t="n"/>
      <c r="M13" s="31" t="inlineStr">
        <is>
          <t>Playwright API 자동화: tests/api/hotels.spec.ts</t>
        </is>
      </c>
      <c r="N13" s="28" t="inlineStr">
        <is>
          <t>Mid</t>
        </is>
      </c>
      <c r="O13" s="32" t="n"/>
    </row>
    <row r="14" ht="29.85" customHeight="1" s="25">
      <c r="A14" s="28" t="inlineStr">
        <is>
          <t>TC-13</t>
        </is>
      </c>
      <c r="B14" s="28" t="inlineStr">
        <is>
          <t>AI</t>
        </is>
      </c>
      <c r="C14" s="28" t="inlineStr">
        <is>
          <t>API</t>
        </is>
      </c>
      <c r="D14" s="29" t="inlineStr">
        <is>
          <t>정상</t>
        </is>
      </c>
      <c r="E14" s="30" t="inlineStr">
        <is>
          <t>기존 예약 반영한 available 계산</t>
        </is>
      </c>
      <c r="F14" s="31" t="inlineStr">
        <is>
          <t>R1 생성</t>
        </is>
      </c>
      <c r="G14" s="31" t="inlineStr">
        <is>
          <t>GET /api/hotels/1/rooms?checkIn=D+31&amp;checkOut=D+33&amp;guests=2</t>
        </is>
      </c>
      <c r="H14" s="31" t="inlineStr">
        <is>
          <t>200. room id 1은 available:false, id 2·3은 available:true</t>
        </is>
      </c>
      <c r="I14" s="31" t="inlineStr">
        <is>
          <t>200. room 1 available:false, room 2·3 available:true</t>
        </is>
      </c>
      <c r="J14" s="29" t="inlineStr">
        <is>
          <t>Pass</t>
        </is>
      </c>
      <c r="K14" s="28" t="inlineStr">
        <is>
          <t>2026-10-10</t>
        </is>
      </c>
      <c r="L14" s="28" t="n"/>
      <c r="M14" s="31" t="inlineStr">
        <is>
          <t>R1을 오늘+50~52일로 생성 후 오늘+51~53일 조회 (데이터 격리)
Playwright API 자동화: tests/api/hotels.spec.ts</t>
        </is>
      </c>
      <c r="N14" s="28" t="inlineStr">
        <is>
          <t>High</t>
        </is>
      </c>
      <c r="O14" s="32" t="n"/>
    </row>
    <row r="15" ht="117.9" customHeight="1" s="25">
      <c r="A15" s="28" t="inlineStr">
        <is>
          <t>TC-14</t>
        </is>
      </c>
      <c r="B15" s="28" t="inlineStr">
        <is>
          <t>AI수정</t>
        </is>
      </c>
      <c r="C15" s="28" t="inlineStr">
        <is>
          <t>UI</t>
        </is>
      </c>
      <c r="D15" s="29" t="inlineStr">
        <is>
          <t>정상</t>
        </is>
      </c>
      <c r="E15" s="30" t="inlineStr">
        <is>
          <t>검색부터 예약 완료까지 E2E</t>
        </is>
      </c>
      <c r="F15" s="30" t="inlineStr">
        <is>
          <t>총 결제 금액 = 1박 요금 × 숙박일수 (정책)</t>
        </is>
      </c>
      <c r="G15" s="31" t="inlineStr">
        <is>
          <t>1. 제주 / 10/8 ~ 10/11 (3박) / 2명 검색
2. 제주 포레스트 리조트 → 가든 더블(1박 130,000원) 선택
3. 예약 정보 입력 화면의 총 결제 금액 확인
4. 테스트용 정보 입력 후 예약 확정
5. 로그 totalPrice 및 '내 예약 조회' 금액 확인</t>
        </is>
      </c>
      <c r="H15" s="30" t="inlineStr">
        <is>
          <t>입력 화면, 완료 화면, 조회 화면, 저장 금액 모두 390,000원</t>
        </is>
      </c>
      <c r="I15" s="30" t="inlineStr">
        <is>
          <t>입력 화면 390,000원 / 저장 금액 520,000원 (RSV-26FFE469, 로그 16:12:01)</t>
        </is>
      </c>
      <c r="J15" s="28" t="inlineStr">
        <is>
          <t>Fail</t>
        </is>
      </c>
      <c r="K15" s="28" t="inlineStr">
        <is>
          <t>2026-10-08</t>
        </is>
      </c>
      <c r="L15" s="28" t="inlineStr">
        <is>
          <t>#1</t>
        </is>
      </c>
      <c r="M15" s="30" t="inlineStr">
        <is>
          <t>원문 기대결과가 개발 관점(data-testid, DB 행 추가)이고 '예약 완료 여부' 위주라 금액 결함을 놓치기 쉬움 → 화면 금액과 저장 금액 대조로 재작성</t>
        </is>
      </c>
      <c r="N15" s="28" t="inlineStr">
        <is>
          <t>High</t>
        </is>
      </c>
      <c r="O15" s="32" t="inlineStr">
        <is>
          <t>① TC-01 검색
② hotel-detail-btn-1
③ room-select-btn-1
④ 이름 홍길동, 이메일 hong@test.com, 전화 010-1234-5678
⑤ booking-submit</t>
        </is>
      </c>
    </row>
    <row r="16" ht="65.65000000000001" customHeight="1" s="25">
      <c r="A16" s="28" t="inlineStr">
        <is>
          <t>TC-15</t>
        </is>
      </c>
      <c r="B16" s="28" t="inlineStr">
        <is>
          <t>AI</t>
        </is>
      </c>
      <c r="C16" s="28" t="inlineStr">
        <is>
          <t>API</t>
        </is>
      </c>
      <c r="D16" s="29" t="inlineStr">
        <is>
          <t>정상</t>
        </is>
      </c>
      <c r="E16" s="30" t="inlineStr">
        <is>
          <t>예약 생성 응답 검증</t>
        </is>
      </c>
      <c r="F16" s="30" t="inlineStr">
        <is>
          <t>초기화</t>
        </is>
      </c>
      <c r="G16" s="31" t="inlineStr">
        <is>
          <t>POST /api/reservations (객실 2, D+30~D+33, 3명, 유효 정보)</t>
        </is>
      </c>
      <c r="H16" s="31" t="inlineStr">
        <is>
          <t>201. status=CONFIRMED, nights=3, totalPrice=480000, room.pricePerNight=160000, cancelledAt=null. id 정규식 ^RSV-.{8}$ 일치</t>
        </is>
      </c>
      <c r="I16" s="31" t="inlineStr">
        <is>
          <t>201. status·nights·room.pricePerNight·cancelledAt·id 형식은 기대대로이나 totalPrice=640000 (기대 480000)</t>
        </is>
      </c>
      <c r="J16" s="29" t="inlineStr">
        <is>
          <t>Fail</t>
        </is>
      </c>
      <c r="K16" s="28" t="inlineStr">
        <is>
          <t>2026-10-10</t>
        </is>
      </c>
      <c r="L16" s="28" t="inlineStr">
        <is>
          <t>#1</t>
        </is>
      </c>
      <c r="M16" s="31" t="inlineStr">
        <is>
          <t>'객실 2'가 객실 ID 2번인지 객실 2개 예약인지 모호(2실 예약 기능은 없음). 객실 ID로 명시 필요
결함 #1과 같은 원인으로 API에서도 재현 (test.fail로 표시)
Playwright API 자동화: tests/api/reservations.spec.ts</t>
        </is>
      </c>
      <c r="N16" s="28" t="inlineStr">
        <is>
          <t>High</t>
        </is>
      </c>
      <c r="O16" s="32" t="n"/>
    </row>
    <row r="17" ht="44" customHeight="1" s="25">
      <c r="A17" s="28" t="inlineStr">
        <is>
          <t>TC-16</t>
        </is>
      </c>
      <c r="B17" s="28" t="inlineStr">
        <is>
          <t>AI</t>
        </is>
      </c>
      <c r="C17" s="28" t="inlineStr">
        <is>
          <t>API</t>
        </is>
      </c>
      <c r="D17" s="29" t="inlineStr">
        <is>
          <t>경계</t>
        </is>
      </c>
      <c r="E17" s="30" t="inlineStr">
        <is>
          <t>객실 수용 인원 초과</t>
        </is>
      </c>
      <c r="F17" s="30" t="inlineStr">
        <is>
          <t>초기화</t>
        </is>
      </c>
      <c r="G17" s="31" t="inlineStr">
        <is>
          <t>POST 객실 1(정원 2), guests=3 / 같은 조건 guests=2</t>
        </is>
      </c>
      <c r="H17" s="31" t="inlineStr">
        <is>
          <t>guests=3: 400 VALIDATION_ERROR, DB 행 증가 없음. guests=2: 201</t>
        </is>
      </c>
      <c r="I17" s="31" t="inlineStr">
        <is>
          <t>guests=3: 400 VALIDATION_ERROR, DB 행 증가 없음 / guests=2: 201</t>
        </is>
      </c>
      <c r="J17" s="29" t="inlineStr">
        <is>
          <t>Pass</t>
        </is>
      </c>
      <c r="K17" s="28" t="inlineStr">
        <is>
          <t>2026-10-10</t>
        </is>
      </c>
      <c r="L17" s="28" t="n"/>
      <c r="M17" s="31" t="inlineStr">
        <is>
          <t>TC-15와 같은 표기 문제. UI에서는 3명 검색 시 정원 2명 객실이 '예약 불가'로 표시됨을 확인(10/7). 서버 차단 여부는 API 단계에서 확인 → 서버 차단 확인 (10/10)
Playwright API 자동화: tests/api/reservations.spec.ts</t>
        </is>
      </c>
      <c r="N17" s="28" t="inlineStr">
        <is>
          <t>High</t>
        </is>
      </c>
      <c r="O17" s="32" t="n"/>
    </row>
    <row r="18" ht="70.09999999999999" customHeight="1" s="25">
      <c r="A18" s="28" t="inlineStr">
        <is>
          <t>TC-17</t>
        </is>
      </c>
      <c r="B18" s="28" t="inlineStr">
        <is>
          <t>AI수정</t>
        </is>
      </c>
      <c r="C18" s="28" t="inlineStr">
        <is>
          <t>UI</t>
        </is>
      </c>
      <c r="D18" s="29" t="inlineStr">
        <is>
          <t>예외</t>
        </is>
      </c>
      <c r="E18" s="30" t="inlineStr">
        <is>
          <t>기간 겹치는 중복 예약</t>
        </is>
      </c>
      <c r="F18" s="30" t="inlineStr">
        <is>
          <t>같은 객실은 기간이 겹치면 예약 불가 (정책)
서울 그랜드 호텔 스탠다드 더블에 11/1~11/3 예약 존재 (RSV-A375CEDF)</t>
        </is>
      </c>
      <c r="G18" s="31" t="inlineStr">
        <is>
          <t>1. 서울 / 11/2 ~ 11/4 / 2명 검색
2. 서울 그랜드 호텔 → 객실 목록 확인</t>
        </is>
      </c>
      <c r="H18" s="30" t="inlineStr">
        <is>
          <t>스탠다드 더블 '예약 불가' 표시</t>
        </is>
      </c>
      <c r="I18" s="30" t="inlineStr">
        <is>
          <t>스탠다드 더블 '예약 불가' 표시</t>
        </is>
      </c>
      <c r="J18" s="28" t="inlineStr">
        <is>
          <t>Pass</t>
        </is>
      </c>
      <c r="K18" s="28" t="inlineStr">
        <is>
          <t>2026-10-08</t>
        </is>
      </c>
      <c r="L18" s="28" t="n"/>
      <c r="M18" s="30" t="inlineStr">
        <is>
          <t>기간 겹침 4가지 유형(뒤쪽/앞쪽/감쌈/포함) 중 뒤쪽 1가지만 다룸 → TC-32, 37, 38 추가. 화면 표시만 확인했으며 서버 차단은 API 단계에서 확인</t>
        </is>
      </c>
      <c r="N18" s="28" t="inlineStr">
        <is>
          <t>High</t>
        </is>
      </c>
      <c r="O18" s="32" t="inlineStr">
        <is>
          <t>POST 객실 1, D+31~D+33</t>
        </is>
      </c>
    </row>
    <row r="19" ht="29.85" customHeight="1" s="25">
      <c r="A19" s="28" t="inlineStr">
        <is>
          <t>TC-18</t>
        </is>
      </c>
      <c r="B19" s="28" t="inlineStr">
        <is>
          <t>AI</t>
        </is>
      </c>
      <c r="C19" s="28" t="inlineStr">
        <is>
          <t>API</t>
        </is>
      </c>
      <c r="D19" s="29" t="inlineStr">
        <is>
          <t>경계</t>
        </is>
      </c>
      <c r="E19" s="30" t="inlineStr">
        <is>
          <t>체크아웃일=다음 체크인일 허용</t>
        </is>
      </c>
      <c r="F19" s="31" t="inlineStr">
        <is>
          <t>R1 생성</t>
        </is>
      </c>
      <c r="G19" s="31" t="inlineStr">
        <is>
          <t>POST 객실 1, D+32~D+34</t>
        </is>
      </c>
      <c r="H19" s="31" t="inlineStr">
        <is>
          <t>201, status=CONFIRMED. DB에 room_id=1 CONFIRMED 2건</t>
        </is>
      </c>
      <c r="I19" s="31" t="inlineStr">
        <is>
          <t>201 CONFIRMED. DB에 room_id=1 CONFIRMED 2건 확인</t>
        </is>
      </c>
      <c r="J19" s="29" t="inlineStr">
        <is>
          <t>Pass</t>
        </is>
      </c>
      <c r="K19" s="28" t="inlineStr">
        <is>
          <t>2026-10-10</t>
        </is>
      </c>
      <c r="L19" s="28" t="n"/>
      <c r="M19" s="31" t="inlineStr">
        <is>
          <t>R1을 오늘+70~72일로 생성 (데이터 격리)
Playwright API 자동화: tests/api/reservations.spec.ts</t>
        </is>
      </c>
      <c r="N19" s="28" t="inlineStr">
        <is>
          <t>High</t>
        </is>
      </c>
      <c r="O19" s="32" t="n"/>
    </row>
    <row r="20" ht="27.6" customHeight="1" s="25">
      <c r="A20" s="28" t="inlineStr">
        <is>
          <t>TC-19</t>
        </is>
      </c>
      <c r="B20" s="28" t="inlineStr">
        <is>
          <t>AI</t>
        </is>
      </c>
      <c r="C20" s="28" t="inlineStr">
        <is>
          <t>API</t>
        </is>
      </c>
      <c r="D20" s="29" t="inlineStr">
        <is>
          <t>정상</t>
        </is>
      </c>
      <c r="E20" s="30" t="inlineStr">
        <is>
          <t>취소된 예약 기간 재예약</t>
        </is>
      </c>
      <c r="F20" s="31" t="inlineStr">
        <is>
          <t>R1 생성 후 취소</t>
        </is>
      </c>
      <c r="G20" s="31" t="inlineStr">
        <is>
          <t>POST 객실 1, D+30~D+32 (다른 이메일)</t>
        </is>
      </c>
      <c r="H20" s="31" t="inlineStr">
        <is>
          <t>201. DB에 room_id=1 행 2건(CANCELLED 1, CONFIRMED 1)</t>
        </is>
      </c>
      <c r="I20" s="31" t="inlineStr">
        <is>
          <t>201. DB 해당 기간 room_id=1 행 2건 (CANCELLED 1, CONFIRMED 1)</t>
        </is>
      </c>
      <c r="J20" s="29" t="inlineStr">
        <is>
          <t>Pass</t>
        </is>
      </c>
      <c r="K20" s="28" t="inlineStr">
        <is>
          <t>2026-10-10</t>
        </is>
      </c>
      <c r="L20" s="28" t="n"/>
      <c r="M20" s="31" t="inlineStr">
        <is>
          <t>R1을 오늘+76~78일로 생성 (데이터 격리)
Playwright API 자동화: tests/api/reservations.spec.ts</t>
        </is>
      </c>
      <c r="N20" s="28" t="inlineStr">
        <is>
          <t>Mid</t>
        </is>
      </c>
      <c r="O20" s="32" t="n"/>
    </row>
    <row r="21" ht="29.85" customHeight="1" s="25">
      <c r="A21" s="28" t="inlineStr">
        <is>
          <t>TC-20</t>
        </is>
      </c>
      <c r="B21" s="28" t="inlineStr">
        <is>
          <t>AI</t>
        </is>
      </c>
      <c r="C21" s="28" t="inlineStr">
        <is>
          <t>API</t>
        </is>
      </c>
      <c r="D21" s="29" t="inlineStr">
        <is>
          <t>예외</t>
        </is>
      </c>
      <c r="E21" s="30" t="inlineStr">
        <is>
          <t>존재하지 않는 객실</t>
        </is>
      </c>
      <c r="F21" s="30" t="inlineStr">
        <is>
          <t>초기화</t>
        </is>
      </c>
      <c r="G21" s="31" t="inlineStr">
        <is>
          <t>POST /api/reservations roomId=999, 나머지 유효</t>
        </is>
      </c>
      <c r="H21" s="31" t="inlineStr">
        <is>
          <t>404 NOT_FOUND, DB 행 증가 없음</t>
        </is>
      </c>
      <c r="I21" s="31" t="inlineStr">
        <is>
          <t>404 NOT_FOUND, DB 행 증가 없음</t>
        </is>
      </c>
      <c r="J21" s="29" t="inlineStr">
        <is>
          <t>Pass</t>
        </is>
      </c>
      <c r="K21" s="28" t="inlineStr">
        <is>
          <t>2026-10-10</t>
        </is>
      </c>
      <c r="L21" s="28" t="n"/>
      <c r="M21" s="31" t="inlineStr">
        <is>
          <t>Playwright API 자동화: tests/api/reservations.spec.ts</t>
        </is>
      </c>
      <c r="N21" s="28" t="inlineStr">
        <is>
          <t>Mid</t>
        </is>
      </c>
      <c r="O21" s="32" t="n"/>
    </row>
    <row r="22" ht="29.85" customHeight="1" s="25">
      <c r="A22" s="28" t="inlineStr">
        <is>
          <t>TC-21</t>
        </is>
      </c>
      <c r="B22" s="28" t="inlineStr">
        <is>
          <t>AI</t>
        </is>
      </c>
      <c r="C22" s="28" t="inlineStr">
        <is>
          <t>API</t>
        </is>
      </c>
      <c r="D22" s="29" t="inlineStr">
        <is>
          <t>예외</t>
        </is>
      </c>
      <c r="E22" s="31" t="inlineStr">
        <is>
          <t>JSON 아닌 본문</t>
        </is>
      </c>
      <c r="F22" s="30" t="inlineStr">
        <is>
          <t>초기화</t>
        </is>
      </c>
      <c r="G22" s="31" t="inlineStr">
        <is>
          <t>POST /api/reservations, Content-Type: application/json, 본문 {roomId:1,</t>
        </is>
      </c>
      <c r="H22" s="31" t="inlineStr">
        <is>
          <t>400 INVALID_JSON, 응답이 {error:{code,message}} 구조. 500 아님</t>
        </is>
      </c>
      <c r="I22" s="31" t="inlineStr">
        <is>
          <t>400 INVALID_JSON, 응답이 {error:{code,message}} 구조</t>
        </is>
      </c>
      <c r="J22" s="29" t="inlineStr">
        <is>
          <t>Pass</t>
        </is>
      </c>
      <c r="K22" s="28" t="inlineStr">
        <is>
          <t>2026-10-10</t>
        </is>
      </c>
      <c r="L22" s="28" t="n"/>
      <c r="M22" s="31" t="inlineStr">
        <is>
          <t>Playwright API 자동화: tests/api/reservations.spec.ts</t>
        </is>
      </c>
      <c r="N22" s="28" t="inlineStr">
        <is>
          <t>Mid</t>
        </is>
      </c>
      <c r="O22" s="32" t="n"/>
    </row>
    <row r="23" ht="29.85" customHeight="1" s="25">
      <c r="A23" s="28" t="inlineStr">
        <is>
          <t>TC-22</t>
        </is>
      </c>
      <c r="B23" s="28" t="inlineStr">
        <is>
          <t>AI</t>
        </is>
      </c>
      <c r="C23" s="28" t="inlineStr">
        <is>
          <t>API</t>
        </is>
      </c>
      <c r="D23" s="29" t="inlineStr">
        <is>
          <t>경계</t>
        </is>
      </c>
      <c r="E23" s="30" t="inlineStr">
        <is>
          <t>이름 길이 1/50/51자, 빈 값</t>
        </is>
      </c>
      <c r="F23" s="30" t="inlineStr">
        <is>
          <t>초기화</t>
        </is>
      </c>
      <c r="G23" s="30" t="inlineStr">
        <is>
          <t>이름만 바꿔 4회 POST (날짜는 매번 다른 기간)</t>
        </is>
      </c>
      <c r="H23" s="31" t="inlineStr">
        <is>
          <t>1자·50자: 201. 51자·빈 문자열: 400 VALIDATION_ERROR, details.name 존재</t>
        </is>
      </c>
      <c r="I23" s="31" t="inlineStr">
        <is>
          <t>1자·50자: 201 / 51자·빈 문자열: 400 VALIDATION_ERROR, details.name 존재</t>
        </is>
      </c>
      <c r="J23" s="29" t="inlineStr">
        <is>
          <t>Pass</t>
        </is>
      </c>
      <c r="K23" s="28" t="inlineStr">
        <is>
          <t>2026-10-10</t>
        </is>
      </c>
      <c r="L23" s="28" t="n"/>
      <c r="M23" s="31" t="inlineStr">
        <is>
          <t>Playwright API 자동화: tests/api/reservations.spec.ts</t>
        </is>
      </c>
      <c r="N23" s="28" t="inlineStr">
        <is>
          <t>Mid</t>
        </is>
      </c>
      <c r="O23" s="32" t="n"/>
    </row>
    <row r="24" ht="44" customHeight="1" s="25">
      <c r="A24" s="28" t="inlineStr">
        <is>
          <t>TC-23</t>
        </is>
      </c>
      <c r="B24" s="28" t="inlineStr">
        <is>
          <t>AI</t>
        </is>
      </c>
      <c r="C24" s="28" t="inlineStr">
        <is>
          <t>API</t>
        </is>
      </c>
      <c r="D24" s="29" t="inlineStr">
        <is>
          <t>경계</t>
        </is>
      </c>
      <c r="E24" s="30" t="inlineStr">
        <is>
          <t>전화번호·이메일 형식</t>
        </is>
      </c>
      <c r="F24" s="30" t="inlineStr">
        <is>
          <t>초기화</t>
        </is>
      </c>
      <c r="G24" s="31" t="inlineStr">
        <is>
          <t>phone=01012345678, 010-123-4567, 010 1234 5678 / email=hong@, hong.test.com으로 각각 POST</t>
        </is>
      </c>
      <c r="H24" s="31" t="inlineStr">
        <is>
          <t>01012345678: 201. 나머지 4건: 400 VALIDATION_ERROR, details에 해당 필드(phone/email) 키 존재</t>
        </is>
      </c>
      <c r="I24" s="31" t="inlineStr">
        <is>
          <t>01012345678: 201 / 010-123-4567: 201 (예약 생성됨, 기대 400) / 010 1234 5678, hong@, hong.test.com: 400, details에 해당 필드 존재</t>
        </is>
      </c>
      <c r="J24" s="29" t="inlineStr">
        <is>
          <t>Fail</t>
        </is>
      </c>
      <c r="K24" s="28" t="inlineStr">
        <is>
          <t>2026-10-10</t>
        </is>
      </c>
      <c r="L24" s="28" t="inlineStr">
        <is>
          <t>#5</t>
        </is>
      </c>
      <c r="M24" s="31" t="inlineStr">
        <is>
          <t>가운데 3자리 번호가 명세 형식(010-1234-5678)과 다르지만 허용됨 → 결함 #5 등록 (test.fail로 표시)
Playwright API 자동화: tests/api/reservations.spec.ts</t>
        </is>
      </c>
      <c r="N24" s="28" t="inlineStr">
        <is>
          <t>Mid</t>
        </is>
      </c>
      <c r="O24" s="32" t="n"/>
    </row>
    <row r="25" ht="55.95" customHeight="1" s="25">
      <c r="A25" s="28" t="inlineStr">
        <is>
          <t>TC-24</t>
        </is>
      </c>
      <c r="B25" s="28" t="inlineStr">
        <is>
          <t>AI</t>
        </is>
      </c>
      <c r="C25" s="28" t="inlineStr">
        <is>
          <t>UI</t>
        </is>
      </c>
      <c r="D25" s="29" t="inlineStr">
        <is>
          <t>예외</t>
        </is>
      </c>
      <c r="E25" s="30" t="inlineStr">
        <is>
          <t>예약 입력 폼 검증 메시지</t>
        </is>
      </c>
      <c r="F25" s="30" t="inlineStr">
        <is>
          <t>초기화, book.html(객실 1, D+30~D+32, 2명) 진입</t>
        </is>
      </c>
      <c r="G25" s="30" t="inlineStr">
        <is>
          <t>이름 공란, 이메일 abc, 전화 123 입력 후 booking-submit</t>
        </is>
      </c>
      <c r="H25" s="31" t="inlineStr">
        <is>
          <t>guest-name-error, guest-email-error, guest-phone-error 3개 모두 표시. complete.html로 이동하지 않음. DB 예약 0건 유지</t>
        </is>
      </c>
      <c r="I25" s="31" t="n"/>
      <c r="J25" s="29" t="inlineStr">
        <is>
          <t>미실행</t>
        </is>
      </c>
      <c r="K25" s="28" t="n"/>
      <c r="L25" s="28" t="n"/>
      <c r="M25" s="30" t="inlineStr">
        <is>
          <t>전화번호 단독 오류는 확인(10/7, '예: 010-1234-5678' 형식 안내 포함). 3개 필드 동시 오류는 미실행</t>
        </is>
      </c>
      <c r="N25" s="28" t="inlineStr">
        <is>
          <t>High</t>
        </is>
      </c>
      <c r="O25" s="32" t="n"/>
    </row>
    <row r="26" ht="44" customHeight="1" s="25">
      <c r="A26" s="28" t="inlineStr">
        <is>
          <t>TC-25</t>
        </is>
      </c>
      <c r="B26" s="28" t="inlineStr">
        <is>
          <t>AI수정</t>
        </is>
      </c>
      <c r="C26" s="28" t="inlineStr">
        <is>
          <t>UI</t>
        </is>
      </c>
      <c r="D26" s="29" t="inlineStr">
        <is>
          <t>정상</t>
        </is>
      </c>
      <c r="E26" s="30" t="inlineStr">
        <is>
          <t>대소문자 다른 이메일로 조회</t>
        </is>
      </c>
      <c r="F26" s="30" t="inlineStr">
        <is>
          <t>예약 RSV-199A1DB7 존재 (이메일 guest.test@example.com)</t>
        </is>
      </c>
      <c r="G26" s="31" t="inlineStr">
        <is>
          <t>1. 내 예약 조회
2. 예약번호 RSV-199A1DB7 + 이메일 GUEST.TEST@example.com(대문자) 입력 후 조회</t>
        </is>
      </c>
      <c r="H26" s="30" t="inlineStr">
        <is>
          <t>예약 상세 정상 표시, 상태 '예약 확정'</t>
        </is>
      </c>
      <c r="I26" s="30" t="inlineStr">
        <is>
          <t>예약 상세 표시 (로그 status=200). 참고: 'SOPHIA'만 입력 시 404</t>
        </is>
      </c>
      <c r="J26" s="28" t="inlineStr">
        <is>
          <t>Pass</t>
        </is>
      </c>
      <c r="K26" s="28" t="inlineStr">
        <is>
          <t>2026-10-07</t>
        </is>
      </c>
      <c r="L26" s="28" t="n"/>
      <c r="M26" s="31" t="inlineStr">
        <is>
          <t>'R1' 같은 내부 약어 대신 실제 예약번호로 기재</t>
        </is>
      </c>
      <c r="N26" s="28" t="inlineStr">
        <is>
          <t>High</t>
        </is>
      </c>
      <c r="O26" s="32" t="inlineStr">
        <is>
          <t>my.html에서 lookup-id=R1 번호, lookup-email=HONG@TEST.COM → lookup-submit</t>
        </is>
      </c>
    </row>
    <row r="27" ht="85.05" customHeight="1" s="25">
      <c r="A27" s="28" t="inlineStr">
        <is>
          <t>TC-26</t>
        </is>
      </c>
      <c r="B27" s="28" t="inlineStr">
        <is>
          <t>AI</t>
        </is>
      </c>
      <c r="C27" s="28" t="inlineStr">
        <is>
          <t>API</t>
        </is>
      </c>
      <c r="D27" s="29" t="inlineStr">
        <is>
          <t>예외</t>
        </is>
      </c>
      <c r="E27" s="30" t="inlineStr">
        <is>
          <t>조회 시 이메일 불일치·누락</t>
        </is>
      </c>
      <c r="F27" s="31" t="inlineStr">
        <is>
          <t>R1 생성</t>
        </is>
      </c>
      <c r="G27" s="31" t="inlineStr">
        <is>
          <t>① GET /api/reservations/{R1}?email=other@test.com
② GET /api/reservations/{R1}
③ GET /api/reservations/RSV-00000000?email=hong@test.com</t>
        </is>
      </c>
      <c r="H27" s="31" t="inlineStr">
        <is>
          <t>①: 404 NOT_FOUND. ②: 400 VALIDATION_ERROR. ③: 404 NOT_FOUND. ①의 응답 본문에 예약 정보(이름·전화) 미포함</t>
        </is>
      </c>
      <c r="I27" s="31" t="inlineStr">
        <is>
          <t>①: 404 NOT_FOUND, 응답에 이름·전화 미포함 / ②: 400 VALIDATION_ERROR / ③: 404 NOT_FOUND</t>
        </is>
      </c>
      <c r="J27" s="29" t="inlineStr">
        <is>
          <t>Pass</t>
        </is>
      </c>
      <c r="K27" s="28" t="inlineStr">
        <is>
          <t>2026-10-10</t>
        </is>
      </c>
      <c r="L27" s="28" t="n"/>
      <c r="M27" s="31" t="inlineStr">
        <is>
          <t>R1을 오늘+100~102일로 생성 (데이터 격리)
Playwright API 자동화: tests/api/reservations.spec.ts</t>
        </is>
      </c>
      <c r="N27" s="28" t="inlineStr">
        <is>
          <t>High</t>
        </is>
      </c>
      <c r="O27" s="32" t="n"/>
    </row>
    <row r="28" ht="79.84999999999999" customHeight="1" s="25">
      <c r="A28" s="28" t="inlineStr">
        <is>
          <t>TC-27</t>
        </is>
      </c>
      <c r="B28" s="28" t="inlineStr">
        <is>
          <t>AI</t>
        </is>
      </c>
      <c r="C28" s="28" t="inlineStr">
        <is>
          <t>UI</t>
        </is>
      </c>
      <c r="D28" s="29" t="inlineStr">
        <is>
          <t>정상</t>
        </is>
      </c>
      <c r="E28" s="30" t="inlineStr">
        <is>
          <t>예약 취소 확정</t>
        </is>
      </c>
      <c r="F28" s="31" t="inlineStr">
        <is>
          <t>R1 생성, my.html에서 R1 조회 완료</t>
        </is>
      </c>
      <c r="G28" s="31" t="inlineStr">
        <is>
          <t>cancel-btn → cancel-confirm 패널 노출 확인 → cancel-confirm-yes</t>
        </is>
      </c>
      <c r="H28" s="31" t="inlineStr">
        <is>
          <t>cancel-result 표시. reservation-status 텍스트 "취소됨", data-status=CANCELLED. reservation-cancelled-at 값 표시. DB status=CANCELLED, cancelled_at NOT NULL</t>
        </is>
      </c>
      <c r="I28" s="30" t="inlineStr">
        <is>
          <t>취소 후 상태 '취소됨', 로그 status=CANCELLED (RSV-199A1DB7)</t>
        </is>
      </c>
      <c r="J28" s="28" t="inlineStr">
        <is>
          <t>Pass</t>
        </is>
      </c>
      <c r="K28" s="28" t="inlineStr">
        <is>
          <t>2026-10-07</t>
        </is>
      </c>
      <c r="L28" s="28" t="n"/>
      <c r="M28" s="31" t="n"/>
      <c r="N28" s="28" t="inlineStr">
        <is>
          <t>High</t>
        </is>
      </c>
      <c r="O28" s="32" t="n"/>
    </row>
    <row r="29" ht="44" customHeight="1" s="25">
      <c r="A29" s="28" t="inlineStr">
        <is>
          <t>TC-28</t>
        </is>
      </c>
      <c r="B29" s="28" t="inlineStr">
        <is>
          <t>AI수정</t>
        </is>
      </c>
      <c r="C29" s="28" t="inlineStr">
        <is>
          <t>UI</t>
        </is>
      </c>
      <c r="D29" s="29" t="inlineStr">
        <is>
          <t>정상</t>
        </is>
      </c>
      <c r="E29" s="30" t="inlineStr">
        <is>
          <t>취소 확인 패널에서 철회</t>
        </is>
      </c>
      <c r="F29" s="31" t="inlineStr">
        <is>
          <t>R1 생성, my.html에서 R1 조회 완료</t>
        </is>
      </c>
      <c r="G29" s="31" t="inlineStr">
        <is>
          <t>1. 내 예약 조회 → 예약 상세 진입
2. 예약 취소 클릭 → 확인 패널 노출 확인
3. '아니요' 클릭</t>
        </is>
      </c>
      <c r="H29" s="30" t="inlineStr">
        <is>
          <t>확인 패널 닫힘, 상태 '예약 확정' 유지, 취소 요청(로그 /cancel) 없음</t>
        </is>
      </c>
      <c r="I29" s="30" t="inlineStr">
        <is>
          <t>패널 닫힘, 예약 확정 유지, 로그에 /cancel 없음</t>
        </is>
      </c>
      <c r="J29" s="28" t="inlineStr">
        <is>
          <t>Pass</t>
        </is>
      </c>
      <c r="K29" s="28" t="inlineStr">
        <is>
          <t>2026-10-08</t>
        </is>
      </c>
      <c r="L29" s="28" t="n"/>
      <c r="M29" s="30" t="inlineStr">
        <is>
          <t>리뷰 초안에 TC-27(실제 취소) 확인 항목이 섞여 있어 '철회'만 확인하도록 분리. 확인 UI는 브라우저 팝업이 아닌 페이지 내 패널</t>
        </is>
      </c>
      <c r="N29" s="28" t="inlineStr">
        <is>
          <t>Mid</t>
        </is>
      </c>
      <c r="O29" s="32" t="inlineStr">
        <is>
          <t>cancel-btn → cancel-confirm-no</t>
        </is>
      </c>
    </row>
    <row r="30" ht="41.75" customHeight="1" s="25">
      <c r="A30" s="28" t="inlineStr">
        <is>
          <t>TC-29</t>
        </is>
      </c>
      <c r="B30" s="28" t="inlineStr">
        <is>
          <t>AI</t>
        </is>
      </c>
      <c r="C30" s="28" t="inlineStr">
        <is>
          <t>API</t>
        </is>
      </c>
      <c r="D30" s="29" t="inlineStr">
        <is>
          <t>예외</t>
        </is>
      </c>
      <c r="E30" s="30" t="inlineStr">
        <is>
          <t>이미 취소된 예약 재취소</t>
        </is>
      </c>
      <c r="F30" s="31" t="inlineStr">
        <is>
          <t>R1 생성 후 취소(cancelled_at 값 기록)</t>
        </is>
      </c>
      <c r="G30" s="31" t="inlineStr">
        <is>
          <t>POST /api/reservations/{R1}/cancel {"email":"hong@test.com"}</t>
        </is>
      </c>
      <c r="H30" s="31" t="inlineStr">
        <is>
          <t>409 ALREADY_CANCELLED. DB cancelled_at이 첫 취소 시각과 동일(갱신 안 됨)</t>
        </is>
      </c>
      <c r="I30" s="31" t="inlineStr">
        <is>
          <t>409 ALREADY_CANCELLED. DB cancelled_at이 첫 취소 시각과 동일</t>
        </is>
      </c>
      <c r="J30" s="29" t="inlineStr">
        <is>
          <t>Pass</t>
        </is>
      </c>
      <c r="K30" s="28" t="inlineStr">
        <is>
          <t>2026-10-10</t>
        </is>
      </c>
      <c r="L30" s="28" t="n"/>
      <c r="M30" s="31" t="inlineStr">
        <is>
          <t>R1을 오늘+104~106일로 생성 (데이터 격리)
Playwright API 자동화: tests/api/reservations.spec.ts</t>
        </is>
      </c>
      <c r="N30" s="28" t="inlineStr">
        <is>
          <t>Mid</t>
        </is>
      </c>
      <c r="O30" s="32" t="n"/>
    </row>
    <row r="31" ht="67.90000000000001" customHeight="1" s="25">
      <c r="A31" s="28" t="inlineStr">
        <is>
          <t>TC-30</t>
        </is>
      </c>
      <c r="B31" s="28" t="inlineStr">
        <is>
          <t>AI수정</t>
        </is>
      </c>
      <c r="C31" s="28" t="inlineStr">
        <is>
          <t>UI</t>
        </is>
      </c>
      <c r="D31" s="29" t="inlineStr">
        <is>
          <t>경계</t>
        </is>
      </c>
      <c r="E31" s="30" t="inlineStr">
        <is>
          <t>체크인 당일 취소 불가, 전날 가능</t>
        </is>
      </c>
      <c r="F31" s="30" t="inlineStr">
        <is>
          <t>체크인 당일부터는 취소 불가 (정책)</t>
        </is>
      </c>
      <c r="G31" s="31" t="inlineStr">
        <is>
          <t>1. 제주 / 오늘(10/8) ~ 10/11 예약 생성 (RSV-26FFE469)
2. 내 예약 조회 → 예약 취소 → '예'</t>
        </is>
      </c>
      <c r="H31" s="31" t="inlineStr">
        <is>
          <t>'체크인 당일 이후에는 예약을 취소할 수 없습니다.' 표시, 상태 '예약 확정' 유지</t>
        </is>
      </c>
      <c r="I31" s="30" t="inlineStr">
        <is>
          <t>에러 메시지 표시, 상태 유지. 로그 status=409 CANCELLATION_CLOSED
(체크인 전 예약 취소 허용은 RSV-199A1DB7로 확인)</t>
        </is>
      </c>
      <c r="J31" s="28" t="inlineStr">
        <is>
          <t>Pass</t>
        </is>
      </c>
      <c r="K31" s="28" t="inlineStr">
        <is>
          <t>2026-10-08</t>
        </is>
      </c>
      <c r="L31" s="28" t="n"/>
      <c r="M31" s="30" t="inlineStr">
        <is>
          <t>원문은 API 전용 절차 → 화면으로 재현. 핵심은 '취소 성공'이 아니라 '당일 취소 차단'임을 절차에 명확히 표기</t>
        </is>
      </c>
      <c r="N31" s="28" t="inlineStr">
        <is>
          <t>High</t>
        </is>
      </c>
      <c r="O31" s="32" t="inlineStr">
        <is>
          <t>A, B 각각 POST /cancel (올바른 이메일)</t>
        </is>
      </c>
    </row>
    <row r="32" ht="44" customHeight="1" s="25">
      <c r="A32" s="28" t="inlineStr">
        <is>
          <t>TC-31</t>
        </is>
      </c>
      <c r="B32" s="28" t="inlineStr">
        <is>
          <t>QA추가</t>
        </is>
      </c>
      <c r="C32" s="28" t="inlineStr">
        <is>
          <t>UI</t>
        </is>
      </c>
      <c r="D32" s="29" t="inlineStr">
        <is>
          <t>정상</t>
        </is>
      </c>
      <c r="E32" s="30" t="inlineStr">
        <is>
          <t>예약~조회 화면 간 금액 일치</t>
        </is>
      </c>
      <c r="F32" s="30" t="inlineStr">
        <is>
          <t>총 결제 금액은 모든 화면에서 동일해야 함</t>
        </is>
      </c>
      <c r="G32" s="31" t="inlineStr">
        <is>
          <t>1. TC-14와 동일하게 예약 생성
2. 예약 정보 입력 / 예약 완료 / 내 예약 조회 화면의 총 결제 금액 비교</t>
        </is>
      </c>
      <c r="H32" s="30" t="inlineStr">
        <is>
          <t>모든 화면 390,000원</t>
        </is>
      </c>
      <c r="I32" s="30" t="inlineStr">
        <is>
          <t>예약 정보 입력 390,000원 / 조회 화면 520,000원 (RSV-26FFE469)</t>
        </is>
      </c>
      <c r="J32" s="28" t="inlineStr">
        <is>
          <t>Fail</t>
        </is>
      </c>
      <c r="K32" s="28" t="inlineStr">
        <is>
          <t>2026-10-08</t>
        </is>
      </c>
      <c r="L32" s="28" t="inlineStr">
        <is>
          <t>#1</t>
        </is>
      </c>
      <c r="M32" s="31" t="inlineStr">
        <is>
          <t>AI 생성 TC에 없던 화면 간 정합성 관점. 고객이 예약 때와 다른 금액을 보게 됨</t>
        </is>
      </c>
      <c r="N32" s="28" t="inlineStr">
        <is>
          <t>High</t>
        </is>
      </c>
      <c r="O32" s="32" t="n"/>
    </row>
    <row r="33" ht="65.65000000000001" customHeight="1" s="25">
      <c r="A33" s="28" t="inlineStr">
        <is>
          <t>TC-32</t>
        </is>
      </c>
      <c r="B33" s="28" t="inlineStr">
        <is>
          <t>QA추가</t>
        </is>
      </c>
      <c r="C33" s="28" t="inlineStr">
        <is>
          <t>UI</t>
        </is>
      </c>
      <c r="D33" s="29" t="inlineStr">
        <is>
          <t>예외</t>
        </is>
      </c>
      <c r="E33" s="30" t="inlineStr">
        <is>
          <t>기존 예약 앞쪽에 걸치는 기간 예약 (UI 우회)</t>
        </is>
      </c>
      <c r="F33" s="30" t="inlineStr">
        <is>
          <t>같은 객실은 기간이 겹치면 예약 불가 (정책)
객실 1에 11/1~11/3 예약 존재</t>
        </is>
      </c>
      <c r="G33" s="31" t="inlineStr">
        <is>
          <t>1. 주소창에 직접 입력하여 예약 화면 진입
   localhost:3000/book.html?hotelId=1&amp;roomId=1&amp;checkIn=2026-10-31&amp;checkOut=2026-11-02&amp;guests=2
2. 정보 입력 후 예약 확정</t>
        </is>
      </c>
      <c r="H33" s="31" t="inlineStr">
        <is>
          <t>409 에러, 예약 생성 안 됨</t>
        </is>
      </c>
      <c r="I33" s="31" t="inlineStr">
        <is>
          <t>201 성공, RSV-E71EEA68 생성 → 11/1 숙박일 이중 예약 (로그 16:21:46)</t>
        </is>
      </c>
      <c r="J33" s="28" t="inlineStr">
        <is>
          <t>Fail</t>
        </is>
      </c>
      <c r="K33" s="28" t="inlineStr">
        <is>
          <t>2026-10-08</t>
        </is>
      </c>
      <c r="L33" s="28" t="inlineStr">
        <is>
          <t>#2</t>
        </is>
      </c>
      <c r="M33" s="30" t="inlineStr">
        <is>
          <t>객실 목록 화면은 '예약 불가'로 정상 표시 → 화면만 검증했다면 놓쳤을 결함. URL 조작으로 서버 검증 확인</t>
        </is>
      </c>
      <c r="N33" s="28" t="inlineStr">
        <is>
          <t>High</t>
        </is>
      </c>
      <c r="O33" s="32" t="n"/>
    </row>
    <row r="34" ht="44" customHeight="1" s="25">
      <c r="A34" s="28" t="inlineStr">
        <is>
          <t>TC-33</t>
        </is>
      </c>
      <c r="B34" s="28" t="inlineStr">
        <is>
          <t>QA추가</t>
        </is>
      </c>
      <c r="C34" s="28" t="inlineStr">
        <is>
          <t>UI</t>
        </is>
      </c>
      <c r="D34" s="29" t="inlineStr">
        <is>
          <t>예외</t>
        </is>
      </c>
      <c r="E34" s="30" t="inlineStr">
        <is>
          <t>해외 전화번호 입력</t>
        </is>
      </c>
      <c r="F34" s="30" t="inlineStr">
        <is>
          <t>전화번호 입력 정책 미정의 (이름은 영문 허용)</t>
        </is>
      </c>
      <c r="G34" s="31" t="inlineStr">
        <is>
          <t>1. 예약 정보 입력 화면 진입
2. 이름 'Jane Doe', 전화번호 07700900123(영국) 입력 후 예약 확정</t>
        </is>
      </c>
      <c r="H34" s="30" t="inlineStr">
        <is>
          <t>정책 확인 필요</t>
        </is>
      </c>
      <c r="I34" s="31" t="inlineStr">
        <is>
          <t>'전화번호 형식이 올바르지 않습니다.' 표시, 예약 불가</t>
        </is>
      </c>
      <c r="J34" s="29" t="inlineStr">
        <is>
          <t>확인필요</t>
        </is>
      </c>
      <c r="K34" s="28" t="inlineStr">
        <is>
          <t>2026-10-07</t>
        </is>
      </c>
      <c r="L34" s="28" t="inlineStr">
        <is>
          <t>#4</t>
        </is>
      </c>
      <c r="M34" s="30" t="inlineStr">
        <is>
          <t>이름(영문 허용)과 전화번호(국내 형식만) 정책 불일치. 여행 서비스 특성상 해외 사용자 고려 필요</t>
        </is>
      </c>
      <c r="N34" s="28" t="inlineStr">
        <is>
          <t>Mid</t>
        </is>
      </c>
      <c r="O34" s="32" t="n"/>
    </row>
    <row r="35" ht="29.85" customHeight="1" s="25">
      <c r="A35" s="28" t="inlineStr">
        <is>
          <t>TC-34</t>
        </is>
      </c>
      <c r="B35" s="28" t="inlineStr">
        <is>
          <t>QA추가</t>
        </is>
      </c>
      <c r="C35" s="29" t="inlineStr">
        <is>
          <t>로그</t>
        </is>
      </c>
      <c r="D35" s="29" t="inlineStr">
        <is>
          <t>예외</t>
        </is>
      </c>
      <c r="E35" s="30" t="inlineStr">
        <is>
          <t>로그 내 개인정보 마스킹</t>
        </is>
      </c>
      <c r="F35" s="30" t="inlineStr">
        <is>
          <t>개인정보는 마스킹하여 기록</t>
        </is>
      </c>
      <c r="G35" s="31" t="inlineStr">
        <is>
          <t>1. 예약 생성 / 조회 / 취소 수행
2. logs/app.log 확인</t>
        </is>
      </c>
      <c r="H35" s="30" t="inlineStr">
        <is>
          <t>이름·이메일·전화번호 마스킹 기록</t>
        </is>
      </c>
      <c r="I35" s="30" t="inlineStr">
        <is>
          <t>이름·이메일·전화번호 평문 기록</t>
        </is>
      </c>
      <c r="J35" s="28" t="inlineStr">
        <is>
          <t>Fail</t>
        </is>
      </c>
      <c r="K35" s="28" t="inlineStr">
        <is>
          <t>2026-10-07</t>
        </is>
      </c>
      <c r="L35" s="28" t="inlineStr">
        <is>
          <t>#3</t>
        </is>
      </c>
      <c r="M35" s="30" t="inlineStr">
        <is>
          <t>기능 테스트만으로는 드러나지 않는 비기능 결함</t>
        </is>
      </c>
      <c r="N35" s="28" t="inlineStr">
        <is>
          <t>Mid</t>
        </is>
      </c>
      <c r="O35" s="32" t="n"/>
    </row>
    <row r="36" ht="44" customHeight="1" s="25">
      <c r="A36" s="28" t="inlineStr">
        <is>
          <t>TC-35</t>
        </is>
      </c>
      <c r="B36" s="28" t="inlineStr">
        <is>
          <t>QA추가</t>
        </is>
      </c>
      <c r="C36" s="28" t="inlineStr">
        <is>
          <t>UI</t>
        </is>
      </c>
      <c r="D36" s="29" t="inlineStr">
        <is>
          <t>예외</t>
        </is>
      </c>
      <c r="E36" s="30" t="inlineStr">
        <is>
          <t>예약 확정 버튼 더블 클릭</t>
        </is>
      </c>
      <c r="F36" s="31" t="inlineStr">
        <is>
          <t>1회 클릭 = 1건 예약</t>
        </is>
      </c>
      <c r="G36" s="31" t="inlineStr">
        <is>
          <t>1. 예약 정보 입력
2. 예약 확정 버튼 빠르게 2회 클릭
3. 로그 POST /api/reservations 건수 확인</t>
        </is>
      </c>
      <c r="H36" s="30" t="inlineStr">
        <is>
          <t>예약 1건만 생성</t>
        </is>
      </c>
      <c r="I36" s="31" t="n"/>
      <c r="J36" s="29" t="inlineStr">
        <is>
          <t>미실행</t>
        </is>
      </c>
      <c r="K36" s="28" t="n"/>
      <c r="L36" s="28" t="n"/>
      <c r="M36" s="30" t="inlineStr">
        <is>
          <t>실무 빈출 결함 유형. AI 미생성</t>
        </is>
      </c>
      <c r="N36" s="28" t="inlineStr">
        <is>
          <t>High</t>
        </is>
      </c>
      <c r="O36" s="32" t="n"/>
    </row>
    <row r="37" ht="29.85" customHeight="1" s="25">
      <c r="A37" s="28" t="inlineStr">
        <is>
          <t>TC-36</t>
        </is>
      </c>
      <c r="B37" s="28" t="inlineStr">
        <is>
          <t>QA추가</t>
        </is>
      </c>
      <c r="C37" s="28" t="inlineStr">
        <is>
          <t>UI</t>
        </is>
      </c>
      <c r="D37" s="29" t="inlineStr">
        <is>
          <t>예외</t>
        </is>
      </c>
      <c r="E37" s="30" t="inlineStr">
        <is>
          <t>예약 완료 후 뒤로 가기 / 새로고침</t>
        </is>
      </c>
      <c r="F37" s="30" t="inlineStr">
        <is>
          <t>완료 후 재제출 없음</t>
        </is>
      </c>
      <c r="G37" s="31" t="inlineStr">
        <is>
          <t>1. 예약 완료 화면 진입
2. 새로고침 / 뒤로 가기 후 다시 앞으로</t>
        </is>
      </c>
      <c r="H37" s="30" t="inlineStr">
        <is>
          <t>추가 예약 생성 안 됨</t>
        </is>
      </c>
      <c r="I37" s="31" t="n"/>
      <c r="J37" s="29" t="inlineStr">
        <is>
          <t>미실행</t>
        </is>
      </c>
      <c r="K37" s="28" t="n"/>
      <c r="L37" s="28" t="n"/>
      <c r="M37" s="31" t="inlineStr">
        <is>
          <t>AI 미생성</t>
        </is>
      </c>
      <c r="N37" s="28" t="inlineStr">
        <is>
          <t>Mid</t>
        </is>
      </c>
      <c r="O37" s="32" t="n"/>
    </row>
    <row r="38" ht="29.85" customHeight="1" s="25">
      <c r="A38" s="28" t="inlineStr">
        <is>
          <t>TC-37</t>
        </is>
      </c>
      <c r="B38" s="28" t="inlineStr">
        <is>
          <t>QA추가</t>
        </is>
      </c>
      <c r="C38" s="28" t="inlineStr">
        <is>
          <t>UI</t>
        </is>
      </c>
      <c r="D38" s="29" t="inlineStr">
        <is>
          <t>예외</t>
        </is>
      </c>
      <c r="E38" s="30" t="inlineStr">
        <is>
          <t>기존 예약을 감싸는 기간 예약 (UI 우회)</t>
        </is>
      </c>
      <c r="F38" s="30" t="inlineStr">
        <is>
          <t>객실 1에 11/1~11/3 예약 존재</t>
        </is>
      </c>
      <c r="G38" s="31" t="inlineStr">
        <is>
          <t>TC-32와 동일 방식으로 10/31 ~ 11/4 예약 시도</t>
        </is>
      </c>
      <c r="H38" s="31" t="inlineStr">
        <is>
          <t>409 에러, 예약 생성 안 됨</t>
        </is>
      </c>
      <c r="I38" s="31" t="n"/>
      <c r="J38" s="29" t="inlineStr">
        <is>
          <t>미실행</t>
        </is>
      </c>
      <c r="K38" s="28" t="n"/>
      <c r="L38" s="28" t="n"/>
      <c r="M38" s="30" t="inlineStr">
        <is>
          <t>기간 겹침 유형 보완 (TC-17 리뷰 결과)</t>
        </is>
      </c>
      <c r="N38" s="28" t="inlineStr">
        <is>
          <t>High</t>
        </is>
      </c>
      <c r="O38" s="32" t="n"/>
    </row>
    <row r="39" ht="29.85" customHeight="1" s="25">
      <c r="A39" s="28" t="inlineStr">
        <is>
          <t>TC-38</t>
        </is>
      </c>
      <c r="B39" s="28" t="inlineStr">
        <is>
          <t>QA추가</t>
        </is>
      </c>
      <c r="C39" s="28" t="inlineStr">
        <is>
          <t>UI</t>
        </is>
      </c>
      <c r="D39" s="29" t="inlineStr">
        <is>
          <t>예외</t>
        </is>
      </c>
      <c r="E39" s="30" t="inlineStr">
        <is>
          <t>기존 예약 안에 포함되는 기간 예약 (UI 우회)</t>
        </is>
      </c>
      <c r="F39" s="30" t="inlineStr">
        <is>
          <t>객실 1에 11/1~11/3 예약 존재</t>
        </is>
      </c>
      <c r="G39" s="31" t="inlineStr">
        <is>
          <t>TC-32와 동일 방식으로 11/1 ~ 11/2 예약 시도</t>
        </is>
      </c>
      <c r="H39" s="31" t="inlineStr">
        <is>
          <t>409 에러, 예약 생성 안 됨</t>
        </is>
      </c>
      <c r="I39" s="31" t="n"/>
      <c r="J39" s="29" t="inlineStr">
        <is>
          <t>미실행</t>
        </is>
      </c>
      <c r="K39" s="28" t="n"/>
      <c r="L39" s="28" t="n"/>
      <c r="M39" s="30" t="inlineStr">
        <is>
          <t>기간 겹침 유형 보완 (TC-17 리뷰 결과)</t>
        </is>
      </c>
      <c r="N39" s="28" t="inlineStr">
        <is>
          <t>High</t>
        </is>
      </c>
      <c r="O39" s="32" t="n"/>
    </row>
  </sheetData>
  <autoFilter ref="A1:O39"/>
  <conditionalFormatting sqref="A2:O39">
    <cfRule type="expression" rank="0" priority="2" equalAverage="0" aboveAverage="0" dxfId="7" text="" percent="0" bottom="0">
      <formula>$J2="Fail"</formula>
    </cfRule>
    <cfRule type="expression" rank="0" priority="3" equalAverage="0" aboveAverage="0" dxfId="8" text="" percent="0" bottom="0">
      <formula>$J2="Pass"</formula>
    </cfRule>
    <cfRule type="expression" rank="0" priority="4" equalAverage="0" aboveAverage="0" dxfId="9" text="" percent="0" bottom="0">
      <formula>$J2="확인필요"</formula>
    </cfRule>
  </conditionalFormatting>
  <conditionalFormatting sqref="B2:B39">
    <cfRule type="expression" rank="0" priority="5" equalAverage="0" aboveAverage="0" dxfId="10" text="" percent="0" bottom="0">
      <formula>$B2="QA추가"</formula>
    </cfRule>
  </conditionalFormatting>
  <dataValidations count="2">
    <dataValidation sqref="B2:B39" showDropDown="0" showInputMessage="0" showErrorMessage="0" allowBlank="0" type="list" errorStyle="stop" operator="between">
      <formula1>"AI,AI수정,QA추가"</formula1>
      <formula2>0</formula2>
    </dataValidation>
    <dataValidation sqref="J2:J39" showDropDown="0" showInputMessage="0" showErrorMessage="0" allowBlank="0" type="list" errorStyle="stop" operator="between">
      <formula1>"Pass,Fail,확인필요,미실행"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0" customWidth="1" style="24" min="1" max="1"/>
    <col width="12" customWidth="1" style="24" min="2" max="6"/>
  </cols>
  <sheetData>
    <row r="1" ht="21.6" customHeight="1" s="25">
      <c r="A1" s="33" t="inlineStr">
        <is>
          <t>AI 생성 TC 리뷰 요약</t>
        </is>
      </c>
    </row>
    <row r="2" ht="15" customHeight="1" s="25">
      <c r="A2" s="34" t="inlineStr">
        <is>
          <t>숫자는 '테스트케이스' 시트에서 자동 집계됩니다.</t>
        </is>
      </c>
    </row>
    <row r="3" ht="15" customHeight="1" s="25">
      <c r="A3" s="35" t="inlineStr">
        <is>
          <t>출처별</t>
        </is>
      </c>
    </row>
    <row r="4" ht="17.15" customHeight="1" s="25">
      <c r="A4" s="27" t="inlineStr">
        <is>
          <t>출처</t>
        </is>
      </c>
      <c r="B4" s="27" t="inlineStr">
        <is>
          <t>건수</t>
        </is>
      </c>
      <c r="C4" s="26" t="inlineStr">
        <is>
          <t>Pass</t>
        </is>
      </c>
      <c r="D4" s="26" t="inlineStr">
        <is>
          <t>Fail</t>
        </is>
      </c>
      <c r="E4" s="27" t="inlineStr">
        <is>
          <t>확인필요</t>
        </is>
      </c>
      <c r="F4" s="27" t="inlineStr">
        <is>
          <t>미실행</t>
        </is>
      </c>
    </row>
    <row r="5" ht="15" customHeight="1" s="25">
      <c r="A5" s="36" t="inlineStr">
        <is>
          <t>AI</t>
        </is>
      </c>
      <c r="B5" s="36">
        <f>COUNTIF(테스트케이스!$B$2:$B$39,A5)</f>
        <v/>
      </c>
      <c r="C5" s="36">
        <f>COUNTIFS(테스트케이스!$B$2:$B$39,A5,테스트케이스!$J$2:$J$39,"Pass")</f>
        <v/>
      </c>
      <c r="D5" s="36">
        <f>COUNTIFS(테스트케이스!$B$2:$B$39,A5,테스트케이스!$J$2:$J$39,"Fail")</f>
        <v/>
      </c>
      <c r="E5" s="36">
        <f>COUNTIFS(테스트케이스!$B$2:$B$39,A5,테스트케이스!$J$2:$J$39,"확인필요")</f>
        <v/>
      </c>
      <c r="F5" s="36">
        <f>COUNTIFS(테스트케이스!$B$2:$B$39,A5,테스트케이스!$J$2:$J$39,"미실행")</f>
        <v/>
      </c>
    </row>
    <row r="6" ht="17.15" customHeight="1" s="25">
      <c r="A6" s="36" t="inlineStr">
        <is>
          <t>AI수정</t>
        </is>
      </c>
      <c r="B6" s="36">
        <f>COUNTIF(테스트케이스!$B$2:$B$39,A6)</f>
        <v/>
      </c>
      <c r="C6" s="36">
        <f>COUNTIFS(테스트케이스!$B$2:$B$39,A6,테스트케이스!$J$2:$J$39,"Pass")</f>
        <v/>
      </c>
      <c r="D6" s="36">
        <f>COUNTIFS(테스트케이스!$B$2:$B$39,A6,테스트케이스!$J$2:$J$39,"Fail")</f>
        <v/>
      </c>
      <c r="E6" s="36">
        <f>COUNTIFS(테스트케이스!$B$2:$B$39,A6,테스트케이스!$J$2:$J$39,"확인필요")</f>
        <v/>
      </c>
      <c r="F6" s="36">
        <f>COUNTIFS(테스트케이스!$B$2:$B$39,A6,테스트케이스!$J$2:$J$39,"미실행")</f>
        <v/>
      </c>
    </row>
    <row r="7" ht="17.15" customHeight="1" s="25">
      <c r="A7" s="36" t="inlineStr">
        <is>
          <t>QA추가</t>
        </is>
      </c>
      <c r="B7" s="36">
        <f>COUNTIF(테스트케이스!$B$2:$B$39,A7)</f>
        <v/>
      </c>
      <c r="C7" s="36">
        <f>COUNTIFS(테스트케이스!$B$2:$B$39,A7,테스트케이스!$J$2:$J$39,"Pass")</f>
        <v/>
      </c>
      <c r="D7" s="36">
        <f>COUNTIFS(테스트케이스!$B$2:$B$39,A7,테스트케이스!$J$2:$J$39,"Fail")</f>
        <v/>
      </c>
      <c r="E7" s="36">
        <f>COUNTIFS(테스트케이스!$B$2:$B$39,A7,테스트케이스!$J$2:$J$39,"확인필요")</f>
        <v/>
      </c>
      <c r="F7" s="36">
        <f>COUNTIFS(테스트케이스!$B$2:$B$39,A7,테스트케이스!$J$2:$J$39,"미실행")</f>
        <v/>
      </c>
    </row>
    <row r="8" ht="15" customHeight="1" s="25">
      <c r="A8" s="37" t="inlineStr">
        <is>
          <t>합계</t>
        </is>
      </c>
      <c r="B8" s="37">
        <f>SUM(B5:B7)</f>
        <v/>
      </c>
      <c r="C8" s="37">
        <f>SUM(C5:C7)</f>
        <v/>
      </c>
      <c r="D8" s="37">
        <f>SUM(D5:D7)</f>
        <v/>
      </c>
      <c r="E8" s="37">
        <f>SUM(E5:E7)</f>
        <v/>
      </c>
      <c r="F8" s="37">
        <f>SUM(F5:F7)</f>
        <v/>
      </c>
    </row>
    <row r="10" ht="15" customHeight="1" s="25">
      <c r="A10" s="35" t="inlineStr">
        <is>
          <t>핵심 지표</t>
        </is>
      </c>
    </row>
    <row r="11" ht="17.15" customHeight="1" s="25">
      <c r="A11" s="38" t="inlineStr">
        <is>
          <t>AI 생성 TC 수</t>
        </is>
      </c>
      <c r="B11" s="39">
        <f>B5+B6</f>
        <v/>
      </c>
    </row>
    <row r="12" ht="17.15" customHeight="1" s="25">
      <c r="A12" s="40" t="inlineStr">
        <is>
          <t>그중 QA가 수정한 TC</t>
        </is>
      </c>
      <c r="B12" s="39">
        <f>B6</f>
        <v/>
      </c>
    </row>
    <row r="13" ht="17.15" customHeight="1" s="25">
      <c r="A13" s="38" t="inlineStr">
        <is>
          <t>QA가 추가한 TC</t>
        </is>
      </c>
      <c r="B13" s="39">
        <f>B7</f>
        <v/>
      </c>
    </row>
    <row r="14" ht="17.15" customHeight="1" s="25">
      <c r="A14" s="38" t="inlineStr">
        <is>
          <t>Fail 발생 TC 중 AI 원본 그대로인 TC</t>
        </is>
      </c>
      <c r="B14" s="39">
        <f>COUNTIFS(테스트케이스!$B$2:$B$39,"AI",테스트케이스!$J$2:$J$39,"Fail")</f>
        <v/>
      </c>
    </row>
    <row r="15" ht="17.15" customHeight="1" s="25">
      <c r="A15" s="38" t="inlineStr">
        <is>
          <t>Fail 발생 TC 중 AI수정·QA추가 TC</t>
        </is>
      </c>
      <c r="B15" s="39">
        <f>COUNTIFS(테스트케이스!$B$2:$B$39,"AI수정",테스트케이스!$J$2:$J$39,"Fail")+COUNTIFS(테스트케이스!$B$2:$B$39,"QA추가",테스트케이스!$J$2:$J$39,"Fail")</f>
        <v/>
      </c>
    </row>
    <row r="17" ht="15" customHeight="1" s="25">
      <c r="A17" s="35" t="inlineStr">
        <is>
          <t>리뷰 결론</t>
        </is>
      </c>
    </row>
    <row r="18" ht="31.5" customHeight="1" s="25">
      <c r="A18" s="41" t="inlineStr">
        <is>
          <t>1. AI는 README(명세)를 그대로 따라가 API·개발자 관점 TC로 쏠림 (UI 7건 / API 23건). 사용자 시나리오는 사람이 보완해야 함</t>
        </is>
      </c>
    </row>
    <row r="19" ht="31.5" customHeight="1" s="25">
      <c r="A19" s="41" t="inlineStr">
        <is>
          <t>2. 내부 표기(D+30, 객실 2, R1, data-testid)가 많아 실무자가 바로 실행하기 어려움. 리뷰 과정에서 실제로 해석 혼동 발생</t>
        </is>
      </c>
    </row>
    <row r="20" ht="31.5" customHeight="1" s="25">
      <c r="A20" s="41" t="inlineStr">
        <is>
          <t>3. 기간 겹침 4가지 유형 중 1가지만 생성 → 누락된 '앞쪽 겹침'에서 중복 예약 결함(#2) 발견</t>
        </is>
      </c>
    </row>
    <row r="21" ht="31.5" customHeight="1" s="25">
      <c r="A21" s="41" t="inlineStr">
        <is>
          <t>4. 화면 간 금액 정합성, UI 우회, 로그 개인정보 등 사용자·운영 관점 케이스 누락 → QA 추가 TC에서 결함 3건 발견</t>
        </is>
      </c>
    </row>
    <row r="22" ht="31.5" customHeight="1" s="25">
      <c r="A22" s="41" t="inlineStr">
        <is>
          <t>5. 명세 기반 경계값(체크인 당일, 30박, 0박)과 모호한 명세 표시(TC-02 가정)는 AI가 잘 생성함</t>
        </is>
      </c>
    </row>
    <row r="23" ht="31.5" customHeight="1" s="25">
      <c r="A23" s="41" t="inlineStr">
        <is>
          <t>6. AI가 명세에 없는 조건을 기대결과로 넘겨짚음: TC-04·08·09에서 'error.details에 해당 키 존재'를 기대했으나 README에는 details 포함 조건이 없음 → 자동화 실행에서 Fail로 드러나 리뷰 후 조건 제외 (AI수정 전환)</t>
        </is>
      </c>
    </row>
  </sheetData>
  <mergeCells count="6">
    <mergeCell ref="A19:F19"/>
    <mergeCell ref="A23:F23"/>
    <mergeCell ref="A22:F22"/>
    <mergeCell ref="A18:F18"/>
    <mergeCell ref="A20:F20"/>
    <mergeCell ref="A21:F2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24" min="1" max="1"/>
    <col width="60" customWidth="1" style="24" min="2" max="2"/>
    <col width="12" customWidth="1" style="24" min="3" max="3"/>
    <col width="9" customWidth="1" style="24" min="4" max="4"/>
    <col width="13" customWidth="1" style="24" min="5" max="5"/>
    <col width="10" customWidth="1" style="24" min="6" max="6"/>
    <col width="8" customWidth="1" style="24" min="7" max="7"/>
    <col width="52" customWidth="1" style="24" min="8" max="8"/>
  </cols>
  <sheetData>
    <row r="1" ht="17.15" customHeight="1" s="25">
      <c r="A1" s="27" t="inlineStr">
        <is>
          <t>결함 ID</t>
        </is>
      </c>
      <c r="B1" s="27" t="inlineStr">
        <is>
          <t>제목</t>
        </is>
      </c>
      <c r="C1" s="27" t="inlineStr">
        <is>
          <t>유형</t>
        </is>
      </c>
      <c r="D1" s="27" t="inlineStr">
        <is>
          <t>심각도</t>
        </is>
      </c>
      <c r="E1" s="27" t="inlineStr">
        <is>
          <t>관련 TC</t>
        </is>
      </c>
      <c r="F1" s="27" t="inlineStr">
        <is>
          <t>발견 경로</t>
        </is>
      </c>
      <c r="G1" s="27" t="inlineStr">
        <is>
          <t>상태</t>
        </is>
      </c>
      <c r="H1" s="27" t="inlineStr">
        <is>
          <t>링크</t>
        </is>
      </c>
    </row>
    <row r="2" ht="15" customHeight="1" s="25">
      <c r="A2" s="42" t="inlineStr">
        <is>
          <t>#1</t>
        </is>
      </c>
      <c r="B2" s="43" t="inlineStr">
        <is>
          <t>[예약] 화면 표시 금액과 저장 금액 불일치 (저장 금액이 1박 요금만큼 많음)</t>
        </is>
      </c>
      <c r="C2" s="42" t="inlineStr">
        <is>
          <t>bug</t>
        </is>
      </c>
      <c r="D2" s="42" t="inlineStr">
        <is>
          <t>critical</t>
        </is>
      </c>
      <c r="E2" s="42" t="inlineStr">
        <is>
          <t>TC-14, TC-15, TC-31</t>
        </is>
      </c>
      <c r="F2" s="42" t="inlineStr">
        <is>
          <t>manual</t>
        </is>
      </c>
      <c r="G2" s="42" t="inlineStr">
        <is>
          <t>Open</t>
        </is>
      </c>
      <c r="H2" s="44" t="inlineStr">
        <is>
          <t>https://github.com/sophiachae/hotel-booking-qa/issues/1</t>
        </is>
      </c>
    </row>
    <row r="3" ht="15" customHeight="1" s="25">
      <c r="A3" s="42" t="inlineStr">
        <is>
          <t>#2</t>
        </is>
      </c>
      <c r="B3" s="43" t="inlineStr">
        <is>
          <t>[예약] 기존 예약 앞쪽에 걸치는 기간이 서버에서 허용되어 중복 예약 발생</t>
        </is>
      </c>
      <c r="C3" s="42" t="inlineStr">
        <is>
          <t>bug</t>
        </is>
      </c>
      <c r="D3" s="42" t="inlineStr">
        <is>
          <t>critical</t>
        </is>
      </c>
      <c r="E3" s="42" t="inlineStr">
        <is>
          <t>TC-32</t>
        </is>
      </c>
      <c r="F3" s="42" t="inlineStr">
        <is>
          <t>manual</t>
        </is>
      </c>
      <c r="G3" s="42" t="inlineStr">
        <is>
          <t>Open</t>
        </is>
      </c>
      <c r="H3" s="44" t="inlineStr">
        <is>
          <t>https://github.com/sophiachae/hotel-booking-qa/issues/2</t>
        </is>
      </c>
    </row>
    <row r="4" ht="15" customHeight="1" s="25">
      <c r="A4" s="42" t="inlineStr">
        <is>
          <t>#3</t>
        </is>
      </c>
      <c r="B4" s="43" t="inlineStr">
        <is>
          <t>[로그] 예약 API 로그에 이메일·전화번호·이름이 평문으로 기록됨</t>
        </is>
      </c>
      <c r="C4" s="42" t="inlineStr">
        <is>
          <t>bug</t>
        </is>
      </c>
      <c r="D4" s="42" t="inlineStr">
        <is>
          <t>major</t>
        </is>
      </c>
      <c r="E4" s="42" t="inlineStr">
        <is>
          <t>TC-34</t>
        </is>
      </c>
      <c r="F4" s="42" t="inlineStr">
        <is>
          <t>manual</t>
        </is>
      </c>
      <c r="G4" s="42" t="inlineStr">
        <is>
          <t>Open</t>
        </is>
      </c>
      <c r="H4" s="44" t="inlineStr">
        <is>
          <t>https://github.com/sophiachae/hotel-booking-qa/issues/3</t>
        </is>
      </c>
    </row>
    <row r="5" ht="29.85" customHeight="1" s="25">
      <c r="A5" s="42" t="inlineStr">
        <is>
          <t>#4</t>
        </is>
      </c>
      <c r="B5" s="43" t="inlineStr">
        <is>
          <t>[예약] 이름은 영문 입력이 가능하나 전화번호는 국내 형식만 허용되어 해외 사용자 예약 불가</t>
        </is>
      </c>
      <c r="C5" s="42" t="inlineStr">
        <is>
          <t>enhancement</t>
        </is>
      </c>
      <c r="D5" s="42" t="inlineStr">
        <is>
          <t>-</t>
        </is>
      </c>
      <c r="E5" s="42" t="inlineStr">
        <is>
          <t>TC-33</t>
        </is>
      </c>
      <c r="F5" s="42" t="inlineStr">
        <is>
          <t>manual</t>
        </is>
      </c>
      <c r="G5" s="42" t="inlineStr">
        <is>
          <t>Open</t>
        </is>
      </c>
      <c r="H5" s="44" t="inlineStr">
        <is>
          <t>https://github.com/sophiachae/hotel-booking-qa/issues/4</t>
        </is>
      </c>
    </row>
    <row r="6" ht="29.85" customHeight="1" s="25">
      <c r="A6" s="42" t="inlineStr">
        <is>
          <t>#5</t>
        </is>
      </c>
      <c r="B6" s="43" t="inlineStr">
        <is>
          <t>[예약] 가운데 자리가 3자리인 전화번호(010-123-4567)가 서버 검증을 통과해 예약됨</t>
        </is>
      </c>
      <c r="C6" s="42" t="inlineStr">
        <is>
          <t>bug</t>
        </is>
      </c>
      <c r="D6" s="42" t="inlineStr">
        <is>
          <t>minor</t>
        </is>
      </c>
      <c r="E6" s="42" t="inlineStr">
        <is>
          <t>TC-23</t>
        </is>
      </c>
      <c r="F6" s="42" t="inlineStr">
        <is>
          <t>automation</t>
        </is>
      </c>
      <c r="G6" s="42" t="inlineStr">
        <is>
          <t>Open</t>
        </is>
      </c>
      <c r="H6" s="44" t="inlineStr">
        <is>
          <t>https://github.com/sophiachae/hotel-booking-qa/issues/5</t>
        </is>
      </c>
    </row>
  </sheetData>
  <hyperlinks>
    <hyperlink xmlns:r="http://schemas.openxmlformats.org/officeDocument/2006/relationships" ref="H2" display="https://github.com/sophiachae/hotel-booking-qa/issues/1" r:id="rId1"/>
    <hyperlink xmlns:r="http://schemas.openxmlformats.org/officeDocument/2006/relationships" ref="H3" display="https://github.com/sophiachae/hotel-booking-qa/issues/2" r:id="rId2"/>
    <hyperlink xmlns:r="http://schemas.openxmlformats.org/officeDocument/2006/relationships" ref="H4" display="https://github.com/sophiachae/hotel-booking-qa/issues/3" r:id="rId3"/>
    <hyperlink xmlns:r="http://schemas.openxmlformats.org/officeDocument/2006/relationships" ref="H5" display="https://github.com/sophiachae/hotel-booking-qa/issues/4" r:id="rId4"/>
    <hyperlink xmlns:r="http://schemas.openxmlformats.org/officeDocument/2006/relationships" ref="H6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4" min="1" max="1"/>
    <col width="90" customWidth="1" style="24" min="2" max="2"/>
  </cols>
  <sheetData>
    <row r="1" ht="17.15" customHeight="1" s="25">
      <c r="A1" s="27" t="inlineStr">
        <is>
          <t>항목</t>
        </is>
      </c>
      <c r="B1" s="27" t="inlineStr">
        <is>
          <t>설명</t>
        </is>
      </c>
    </row>
    <row r="2" ht="15" customHeight="1" s="25">
      <c r="A2" s="45" t="inlineStr">
        <is>
          <t>출처</t>
        </is>
      </c>
      <c r="B2" s="46" t="inlineStr">
        <is>
          <t>AI = AI 생성 원본 그대로 / AI수정 = QA가 절차·기대결과를 재작성 / QA추가 = AI가 누락하여 QA가 추가</t>
        </is>
      </c>
    </row>
    <row r="3" ht="15" customHeight="1" s="25">
      <c r="A3" s="45" t="inlineStr">
        <is>
          <t>실행결과</t>
        </is>
      </c>
      <c r="B3" s="46" t="inlineStr">
        <is>
          <t>Pass / Fail / 확인필요(정책 확인 요청) / 미실행</t>
        </is>
      </c>
    </row>
    <row r="4" ht="15" customHeight="1" s="25">
      <c r="A4" s="47" t="inlineStr">
        <is>
          <t>AI 원문 절차</t>
        </is>
      </c>
      <c r="B4" s="46" t="inlineStr">
        <is>
          <t>AI수정 TC의 수정 전 절차. 리뷰 근거로 보존</t>
        </is>
      </c>
    </row>
    <row r="5" ht="15" customHeight="1" s="25">
      <c r="A5" s="47" t="inlineStr">
        <is>
          <t>D</t>
        </is>
      </c>
      <c r="B5" s="46" t="inlineStr">
        <is>
          <t>AI 원문 표기. 테스트 실행일(오늘). D+n = n일 뒤 날짜</t>
        </is>
      </c>
    </row>
    <row r="6" ht="15" customHeight="1" s="25">
      <c r="A6" s="45" t="inlineStr">
        <is>
          <t>초기화</t>
        </is>
      </c>
      <c r="B6" s="48" t="inlineStr">
        <is>
          <t>서버 종료 → npm run reset → npm start. 샘플 데이터만 있고 예약 0건인 상태</t>
        </is>
      </c>
    </row>
    <row r="7" ht="15" customHeight="1" s="25">
      <c r="A7" s="47" t="inlineStr">
        <is>
          <t>R1</t>
        </is>
      </c>
      <c r="B7" s="46" t="inlineStr">
        <is>
          <t>AI 원문 표기. 객실 1(서울 그랜드 / 스탠다드 더블 / 120,000원), D+30~D+32, 2명으로 만든 예약</t>
        </is>
      </c>
    </row>
    <row r="8" ht="15" customHeight="1" s="25">
      <c r="A8" s="45" t="inlineStr">
        <is>
          <t>테스트 데이터</t>
        </is>
      </c>
      <c r="B8" s="48" t="inlineStr">
        <is>
          <t>실제 개인정보 대신 테스트용 이름·이메일·전화번호 사용</t>
        </is>
      </c>
    </row>
    <row r="9" ht="15" customHeight="1" s="25">
      <c r="A9" s="45" t="inlineStr">
        <is>
          <t>실행 환경</t>
        </is>
      </c>
      <c r="B9" s="46" t="inlineStr">
        <is>
          <t>macOS / Chrome / localhost:3000 / 2026-10-07 ~ 10-08 (수동)
자동화: Playwright 1.64 / Chromium / localhost:3100 (전용 DB) / 2026-10-10</t>
        </is>
      </c>
    </row>
    <row r="10" ht="15" customHeight="1" s="25">
      <c r="A10" s="45" t="inlineStr">
        <is>
          <t>가정 (TC-02)</t>
        </is>
      </c>
      <c r="B10" s="46" t="inlineStr">
        <is>
          <t>minPrice는 '인원 조건을 충족하는 객실 중 최저가'로 해석. 명세에 없어 실제 동작이 다르면 판단 필요</t>
        </is>
      </c>
    </row>
    <row r="11" ht="15" customHeight="1" s="25">
      <c r="A11" s="45" t="inlineStr">
        <is>
          <t>출처 문서</t>
        </is>
      </c>
      <c r="B11" s="46" t="inlineStr">
        <is>
          <t>README.md(미니 호텔 예약 웹앱 기능 명세)를 LLM에 입력해 TC 30건 생성 후 QA 리뷰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2026-10-08T07:58:55Z</dcterms:created>
  <dcterms:modified xsi:type="dcterms:W3CDTF">2026-10-10T06:15:40Z</dcterms:modified>
  <cp:revision>0</cp:revision>
</cp:coreProperties>
</file>